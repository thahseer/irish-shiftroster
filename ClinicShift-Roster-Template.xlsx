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ead Me First" sheetId="2" state="visible" r:id="rId4"/>
    <sheet name="Department Master" sheetId="3" state="visible" r:id="rId5"/>
    <sheet name="Position Master" sheetId="4" state="visible" r:id="rId6"/>
    <sheet name="Shift Master" sheetId="5" state="visible" r:id="rId7"/>
    <sheet name="Staff Master" sheetId="6" state="visible" r:id="rId8"/>
    <sheet name="Staffing Coverage" sheetId="7" state="visible" r:id="rId9"/>
    <sheet name="Monthly Roster" sheetId="8" state="visible" r:id="rId10"/>
    <sheet name="Live Roster (Today)" sheetId="9" state="visible" r:id="rId11"/>
    <sheet name="Leave Register" sheetId="10" state="visible" r:id="rId12"/>
    <sheet name="Shift Change Requests" sheetId="11" state="visible" r:id="rId13"/>
    <sheet name="Change Log" sheetId="12" state="visible" r:id="rId14"/>
    <sheet name="Monthly Summary" sheetId="13" state="visible" r:id="rId15"/>
    <sheet name="SOP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<sst xmlns="http://schemas.openxmlformats.org/spreadsheetml/2006/main" count="3074" uniqueCount="308">
  <si>
    <t xml:space="preserve">ClinicShift Roster — Dashboard</t>
  </si>
  <si>
    <t xml:space="preserve">Bright Smiles Clinic (edit clinic name on Read Me First)</t>
  </si>
  <si>
    <t xml:space="preserve">Reference Date:</t>
  </si>
  <si>
    <t xml:space="preserve">(must fall inside the Monthly Roster month)</t>
  </si>
  <si>
    <t xml:space="preserve">Total Employees</t>
  </si>
  <si>
    <t xml:space="preserve">Working Today</t>
  </si>
  <si>
    <t xml:space="preserve">Weekly Off Today</t>
  </si>
  <si>
    <t xml:space="preserve">Annual Leave Today</t>
  </si>
  <si>
    <t xml:space="preserve">Sick Leave Today</t>
  </si>
  <si>
    <t xml:space="preserve">Other Leave Today</t>
  </si>
  <si>
    <t xml:space="preserve">Pending Shift Requests</t>
  </si>
  <si>
    <t xml:space="preserve">Pending HR Approvals</t>
  </si>
  <si>
    <t xml:space="preserve">Staffing Shortages Today</t>
  </si>
  <si>
    <t xml:space="preserve">ClinicShift Roster — Excel Template</t>
  </si>
  <si>
    <t xml:space="preserve">Cloud-based clinic staff shift roster &amp; HR approval workflow, adapted for Excel</t>
  </si>
  <si>
    <t xml:space="preserve">How to use this workbook</t>
  </si>
  <si>
    <t xml:space="preserve">1. Staff Master, Department Master, Position Master and Shift Master are your configuration tables — edit them first for your own clinic.</t>
  </si>
  <si>
    <t xml:space="preserve">2. Monthly Roster is pre-filled with one demo month (October 2026) for 20 sample employees. Yellow cells are the ones you are meant to edit; everything else is a formula.</t>
  </si>
  <si>
    <t xml:space="preserve">3. Change the 'Reference Date' cell on the Dashboard sheet to any date inside the roster month to see that day's staffing counts update.</t>
  </si>
  <si>
    <t xml:space="preserve">4. Leave Register, Shift Change Requests and Change Log are logs — add a new row for each new leave, request or change; update the Monthly Roster shift code by hand once something is approved (this workbook is a record-keeping template, not a live app).</t>
  </si>
  <si>
    <t xml:space="preserve">5. Staffing Coverage lists your minimum-staff rules; Monthly Roster column M flags any date/shift below that minimum with a formula.</t>
  </si>
  <si>
    <t xml:space="preserve">6. Monthly Summary and Dashboard total everything else with formulas (SUMIFS/COUNTIFS) — extend the ranges if you add more rows or months.</t>
  </si>
  <si>
    <t xml:space="preserve">7. Cells shaded pale yellow with blue text are inputs meant to be edited; black text is a formula — do not overtype it.</t>
  </si>
  <si>
    <t xml:space="preserve">8. For a live, multi-user version with roles, approvals and a shared database, see the ClinicShift Roster web app version of this template.</t>
  </si>
  <si>
    <t xml:space="preserve">Legend</t>
  </si>
  <si>
    <t xml:space="preserve">Editable input</t>
  </si>
  <si>
    <t xml:space="preserve">Formula — do not overtype</t>
  </si>
  <si>
    <t xml:space="preserve">Department Master</t>
  </si>
  <si>
    <t xml:space="preserve">Add or edit clinic departments here</t>
  </si>
  <si>
    <t xml:space="preserve">Dept ID</t>
  </si>
  <si>
    <t xml:space="preserve">Department Name</t>
  </si>
  <si>
    <t xml:space="preserve">Manager / Supervisor</t>
  </si>
  <si>
    <t xml:space="preserve">DEP-MGMT</t>
  </si>
  <si>
    <t xml:space="preserve">Management</t>
  </si>
  <si>
    <t xml:space="preserve">Rashid Al Nuaimi</t>
  </si>
  <si>
    <t xml:space="preserve">DEP-ADMIN</t>
  </si>
  <si>
    <t xml:space="preserve">Administration</t>
  </si>
  <si>
    <t xml:space="preserve">Meera Pillai</t>
  </si>
  <si>
    <t xml:space="preserve">DEP-HR</t>
  </si>
  <si>
    <t xml:space="preserve">HR</t>
  </si>
  <si>
    <t xml:space="preserve">DEP-RECEPTION</t>
  </si>
  <si>
    <t xml:space="preserve">Reception</t>
  </si>
  <si>
    <t xml:space="preserve">DEP-DENTAL</t>
  </si>
  <si>
    <t xml:space="preserve">Dental</t>
  </si>
  <si>
    <t xml:space="preserve">Dr. Sara Haddad</t>
  </si>
  <si>
    <t xml:space="preserve">DEP-NURSING</t>
  </si>
  <si>
    <t xml:space="preserve">Nursing</t>
  </si>
  <si>
    <t xml:space="preserve">DEP-GP</t>
  </si>
  <si>
    <t xml:space="preserve">General Practice</t>
  </si>
  <si>
    <t xml:space="preserve">DEP-LASER</t>
  </si>
  <si>
    <t xml:space="preserve">Laser</t>
  </si>
  <si>
    <t xml:space="preserve">DEP-CSSD</t>
  </si>
  <si>
    <t xml:space="preserve">CSSD</t>
  </si>
  <si>
    <t xml:space="preserve">DEP-DENTALLAB</t>
  </si>
  <si>
    <t xml:space="preserve">Dental Laboratory</t>
  </si>
  <si>
    <t xml:space="preserve">DEP-CLEANING</t>
  </si>
  <si>
    <t xml:space="preserve">Cleaning</t>
  </si>
  <si>
    <t xml:space="preserve">Hassan Baig</t>
  </si>
  <si>
    <t xml:space="preserve">DEP-FACILITIES</t>
  </si>
  <si>
    <t xml:space="preserve">Facilities</t>
  </si>
  <si>
    <t xml:space="preserve">Position Master</t>
  </si>
  <si>
    <t xml:space="preserve">Add or edit job positions here</t>
  </si>
  <si>
    <t xml:space="preserve">Position Name</t>
  </si>
  <si>
    <t xml:space="preserve">CEO</t>
  </si>
  <si>
    <t xml:space="preserve">Medical Director</t>
  </si>
  <si>
    <t xml:space="preserve">Doctor</t>
  </si>
  <si>
    <t xml:space="preserve">Dentist</t>
  </si>
  <si>
    <t xml:space="preserve">General Practitioner</t>
  </si>
  <si>
    <t xml:space="preserve">Nurse</t>
  </si>
  <si>
    <t xml:space="preserve">Receptionist</t>
  </si>
  <si>
    <t xml:space="preserve">Dental Assistant</t>
  </si>
  <si>
    <t xml:space="preserve">Laser Technician</t>
  </si>
  <si>
    <t xml:space="preserve">Dental Technician</t>
  </si>
  <si>
    <t xml:space="preserve">CSSD Technician</t>
  </si>
  <si>
    <t xml:space="preserve">Cleaner</t>
  </si>
  <si>
    <t xml:space="preserve">Facility Manager</t>
  </si>
  <si>
    <t xml:space="preserve">HR Executive</t>
  </si>
  <si>
    <t xml:space="preserve">Admin Staff</t>
  </si>
  <si>
    <t xml:space="preserve">Shift Master</t>
  </si>
  <si>
    <t xml:space="preserve">Fully configurable — change times freely, hours recalculate automatically</t>
  </si>
  <si>
    <t xml:space="preserve">Shift Code</t>
  </si>
  <si>
    <t xml:space="preserve">Shift Name</t>
  </si>
  <si>
    <t xml:space="preserve">Start</t>
  </si>
  <si>
    <t xml:space="preserve">End</t>
  </si>
  <si>
    <t xml:space="preserve">Break (min)</t>
  </si>
  <si>
    <t xml:space="preserve">Working Shift?</t>
  </si>
  <si>
    <t xml:space="preserve">Working Hours</t>
  </si>
  <si>
    <t xml:space="preserve">M1</t>
  </si>
  <si>
    <t xml:space="preserve">Morning</t>
  </si>
  <si>
    <t xml:space="preserve">Yes</t>
  </si>
  <si>
    <t xml:space="preserve">M2</t>
  </si>
  <si>
    <t xml:space="preserve">Day</t>
  </si>
  <si>
    <t xml:space="preserve">M3</t>
  </si>
  <si>
    <t xml:space="preserve">Extended Day</t>
  </si>
  <si>
    <t xml:space="preserve">E1</t>
  </si>
  <si>
    <t xml:space="preserve">Evening</t>
  </si>
  <si>
    <t xml:space="preserve">D1</t>
  </si>
  <si>
    <t xml:space="preserve">OFF</t>
  </si>
  <si>
    <t xml:space="preserve">Weekly Off</t>
  </si>
  <si>
    <t xml:space="preserve">No</t>
  </si>
  <si>
    <t xml:space="preserve">AL</t>
  </si>
  <si>
    <t xml:space="preserve">Annual Leave</t>
  </si>
  <si>
    <t xml:space="preserve">SL</t>
  </si>
  <si>
    <t xml:space="preserve">Sick Leave</t>
  </si>
  <si>
    <t xml:space="preserve">EL</t>
  </si>
  <si>
    <t xml:space="preserve">Emergency Leave</t>
  </si>
  <si>
    <t xml:space="preserve">UL</t>
  </si>
  <si>
    <t xml:space="preserve">Unpaid Leave</t>
  </si>
  <si>
    <t xml:space="preserve">OL</t>
  </si>
  <si>
    <t xml:space="preserve">Other Leave</t>
  </si>
  <si>
    <t xml:space="preserve">PH</t>
  </si>
  <si>
    <t xml:space="preserve">Public Holiday</t>
  </si>
  <si>
    <t xml:space="preserve">Staff Master</t>
  </si>
  <si>
    <t xml:space="preserve">Confidential — remarks &amp; contact details intended for HR eyes only</t>
  </si>
  <si>
    <t xml:space="preserve">Employee ID</t>
  </si>
  <si>
    <t xml:space="preserve">Name</t>
  </si>
  <si>
    <t xml:space="preserve">Gender</t>
  </si>
  <si>
    <t xml:space="preserve">Department</t>
  </si>
  <si>
    <t xml:space="preserve">Position</t>
  </si>
  <si>
    <t xml:space="preserve">Employment Type</t>
  </si>
  <si>
    <t xml:space="preserve">Joining Date</t>
  </si>
  <si>
    <t xml:space="preserve">Work Location</t>
  </si>
  <si>
    <t xml:space="preserve">Mobile</t>
  </si>
  <si>
    <t xml:space="preserve">Email</t>
  </si>
  <si>
    <t xml:space="preserve">Manager</t>
  </si>
  <si>
    <t xml:space="preserve">Standard Shift</t>
  </si>
  <si>
    <t xml:space="preserve">Employment Status</t>
  </si>
  <si>
    <t xml:space="preserve">Remarks</t>
  </si>
  <si>
    <t xml:space="preserve">EMP001</t>
  </si>
  <si>
    <t xml:space="preserve">M</t>
  </si>
  <si>
    <t xml:space="preserve">Full-time</t>
  </si>
  <si>
    <t xml:space="preserve">Main Clinic</t>
  </si>
  <si>
    <t xml:space="preserve">0501234001</t>
  </si>
  <si>
    <t xml:space="preserve">rashid.alnuaimi@clinic.ae</t>
  </si>
  <si>
    <t xml:space="preserve">—</t>
  </si>
  <si>
    <t xml:space="preserve">Sat</t>
  </si>
  <si>
    <t xml:space="preserve">Active</t>
  </si>
  <si>
    <t xml:space="preserve">EMP002</t>
  </si>
  <si>
    <t xml:space="preserve">F</t>
  </si>
  <si>
    <t xml:space="preserve">0501234002</t>
  </si>
  <si>
    <t xml:space="preserve">sara.haddad@clinic.ae</t>
  </si>
  <si>
    <t xml:space="preserve">Fri</t>
  </si>
  <si>
    <t xml:space="preserve">EMP003</t>
  </si>
  <si>
    <t xml:space="preserve">Dr. Omar Khalil</t>
  </si>
  <si>
    <t xml:space="preserve">0501234003</t>
  </si>
  <si>
    <t xml:space="preserve">omar.khalil@clinic.ae</t>
  </si>
  <si>
    <t xml:space="preserve">EMP004</t>
  </si>
  <si>
    <t xml:space="preserve">Dr. Lina Abboud</t>
  </si>
  <si>
    <t xml:space="preserve">0501234004</t>
  </si>
  <si>
    <t xml:space="preserve">lina.abboud@clinic.ae</t>
  </si>
  <si>
    <t xml:space="preserve">EMP005</t>
  </si>
  <si>
    <t xml:space="preserve">Dr. Farah Idris</t>
  </si>
  <si>
    <t xml:space="preserve">Part-time</t>
  </si>
  <si>
    <t xml:space="preserve">0501234005</t>
  </si>
  <si>
    <t xml:space="preserve">farah.idris@clinic.ae</t>
  </si>
  <si>
    <t xml:space="preserve">Sun</t>
  </si>
  <si>
    <t xml:space="preserve">Part-time — 3 days/week</t>
  </si>
  <si>
    <t xml:space="preserve">EMP006</t>
  </si>
  <si>
    <t xml:space="preserve">Dr. Youssef Nassar</t>
  </si>
  <si>
    <t xml:space="preserve">0501234006</t>
  </si>
  <si>
    <t xml:space="preserve">youssef.nassar@clinic.ae</t>
  </si>
  <si>
    <t xml:space="preserve">EMP007</t>
  </si>
  <si>
    <t xml:space="preserve">Grace Fernandez</t>
  </si>
  <si>
    <t xml:space="preserve">0501234007</t>
  </si>
  <si>
    <t xml:space="preserve">grace.fernandez@clinic.ae</t>
  </si>
  <si>
    <t xml:space="preserve">EMP008</t>
  </si>
  <si>
    <t xml:space="preserve">Priya Nair</t>
  </si>
  <si>
    <t xml:space="preserve">0501234008</t>
  </si>
  <si>
    <t xml:space="preserve">priya.nair@clinic.ae</t>
  </si>
  <si>
    <t xml:space="preserve">Mon</t>
  </si>
  <si>
    <t xml:space="preserve">EMP009</t>
  </si>
  <si>
    <t xml:space="preserve">Maria Santos</t>
  </si>
  <si>
    <t xml:space="preserve">0501234009</t>
  </si>
  <si>
    <t xml:space="preserve">maria.santos@clinic.ae</t>
  </si>
  <si>
    <t xml:space="preserve">EMP010</t>
  </si>
  <si>
    <t xml:space="preserve">Aisha Al Shamsi</t>
  </si>
  <si>
    <t xml:space="preserve">0501234010</t>
  </si>
  <si>
    <t xml:space="preserve">aisha.alshamsi@clinic.ae</t>
  </si>
  <si>
    <t xml:space="preserve">EMP020</t>
  </si>
  <si>
    <t xml:space="preserve">EMP011</t>
  </si>
  <si>
    <t xml:space="preserve">John Dsouza</t>
  </si>
  <si>
    <t xml:space="preserve">0501234011</t>
  </si>
  <si>
    <t xml:space="preserve">john.dsouza@clinic.ae</t>
  </si>
  <si>
    <t xml:space="preserve">Tue</t>
  </si>
  <si>
    <t xml:space="preserve">EMP012</t>
  </si>
  <si>
    <t xml:space="preserve">Fatima Zahra</t>
  </si>
  <si>
    <t xml:space="preserve">0501234012</t>
  </si>
  <si>
    <t xml:space="preserve">fatima.zahra@clinic.ae</t>
  </si>
  <si>
    <t xml:space="preserve">EMP013</t>
  </si>
  <si>
    <t xml:space="preserve">Ana Reyes</t>
  </si>
  <si>
    <t xml:space="preserve">0501234013</t>
  </si>
  <si>
    <t xml:space="preserve">ana.reyes@clinic.ae</t>
  </si>
  <si>
    <t xml:space="preserve">EMP014</t>
  </si>
  <si>
    <t xml:space="preserve">Noor Hassan</t>
  </si>
  <si>
    <t xml:space="preserve">0501234014</t>
  </si>
  <si>
    <t xml:space="preserve">noor.hassan@clinic.ae</t>
  </si>
  <si>
    <t xml:space="preserve">EMP015</t>
  </si>
  <si>
    <t xml:space="preserve">Karan Mehta</t>
  </si>
  <si>
    <t xml:space="preserve">0501234015</t>
  </si>
  <si>
    <t xml:space="preserve">karan.mehta@clinic.ae</t>
  </si>
  <si>
    <t xml:space="preserve">EMP016</t>
  </si>
  <si>
    <t xml:space="preserve">Imran Sheikh</t>
  </si>
  <si>
    <t xml:space="preserve">0501234016</t>
  </si>
  <si>
    <t xml:space="preserve">imran.sheikh@clinic.ae</t>
  </si>
  <si>
    <t xml:space="preserve">EMP017</t>
  </si>
  <si>
    <t xml:space="preserve">Josephine Cruz</t>
  </si>
  <si>
    <t xml:space="preserve">0501234017</t>
  </si>
  <si>
    <t xml:space="preserve">josephine.cruz@clinic.ae</t>
  </si>
  <si>
    <t xml:space="preserve">EMP018</t>
  </si>
  <si>
    <t xml:space="preserve">Rosalyn Tan</t>
  </si>
  <si>
    <t xml:space="preserve">0501234018</t>
  </si>
  <si>
    <t xml:space="preserve">rosalyn.tan@clinic.ae</t>
  </si>
  <si>
    <t xml:space="preserve">EMP019</t>
  </si>
  <si>
    <t xml:space="preserve">0501234019</t>
  </si>
  <si>
    <t xml:space="preserve">hassan.baig@clinic.ae</t>
  </si>
  <si>
    <t xml:space="preserve">0501234020</t>
  </si>
  <si>
    <t xml:space="preserve">meera.pillai@clinic.ae</t>
  </si>
  <si>
    <t xml:space="preserve">Staffing Coverage</t>
  </si>
  <si>
    <t xml:space="preserve">Minimum required staff per department &amp; shift</t>
  </si>
  <si>
    <t xml:space="preserve">Minimum Required</t>
  </si>
  <si>
    <t xml:space="preserve">Monthly Roster — October 2026</t>
  </si>
  <si>
    <t xml:space="preserve">Shift codes are editable (yellow); every other column is a lookup formula</t>
  </si>
  <si>
    <t xml:space="preserve">Date</t>
  </si>
  <si>
    <t xml:space="preserve">Employee</t>
  </si>
  <si>
    <t xml:space="preserve">Hours</t>
  </si>
  <si>
    <t xml:space="preserve">Status</t>
  </si>
  <si>
    <t xml:space="preserve">HR Confirmation</t>
  </si>
  <si>
    <t xml:space="preserve">Shortage Flag</t>
  </si>
  <si>
    <t xml:space="preserve">FINAL – HR CONFIRMED</t>
  </si>
  <si>
    <t xml:space="preserve">CONFIRMED</t>
  </si>
  <si>
    <t xml:space="preserve">Live Roster</t>
  </si>
  <si>
    <t xml:space="preserve">FINAL – HR CONFIRMED. Shows whichever date is entered as the reference date below.</t>
  </si>
  <si>
    <t xml:space="preserve">(edit this cell — must fall within the Monthly Roster month above)</t>
  </si>
  <si>
    <t xml:space="preserve">Leave / Weekly Off Register</t>
  </si>
  <si>
    <t xml:space="preserve">Add a row per leave request; apply the shift code to Monthly Roster once approved</t>
  </si>
  <si>
    <t xml:space="preserve">Leave Type</t>
  </si>
  <si>
    <t xml:space="preserve">Start Date</t>
  </si>
  <si>
    <t xml:space="preserve">End Date</t>
  </si>
  <si>
    <t xml:space="preserve">Days</t>
  </si>
  <si>
    <t xml:space="preserve">Reason</t>
  </si>
  <si>
    <t xml:space="preserve">Requested By</t>
  </si>
  <si>
    <t xml:space="preserve">Approved By</t>
  </si>
  <si>
    <t xml:space="preserve">Annual family travel</t>
  </si>
  <si>
    <t xml:space="preserve">Approved</t>
  </si>
  <si>
    <t xml:space="preserve">Medical appointment</t>
  </si>
  <si>
    <t xml:space="preserve">Pending</t>
  </si>
  <si>
    <t xml:space="preserve">Shift Change Requests</t>
  </si>
  <si>
    <t xml:space="preserve">Employee/manager requests — HR applies the approved shift to Monthly Roster</t>
  </si>
  <si>
    <t xml:space="preserve">Request ID</t>
  </si>
  <si>
    <t xml:space="preserve">Current Shift</t>
  </si>
  <si>
    <t xml:space="preserve">Requested Shift</t>
  </si>
  <si>
    <t xml:space="preserve">Request Date</t>
  </si>
  <si>
    <t xml:space="preserve">Manager Approval</t>
  </si>
  <si>
    <t xml:space="preserve">HR Decision</t>
  </si>
  <si>
    <t xml:space="preserve">HR Remarks</t>
  </si>
  <si>
    <t xml:space="preserve">Approval Date</t>
  </si>
  <si>
    <t xml:space="preserve">REQ-0001</t>
  </si>
  <si>
    <t xml:space="preserve">Childcare drop-off changed this week</t>
  </si>
  <si>
    <t xml:space="preserve">Pending Manager</t>
  </si>
  <si>
    <t xml:space="preserve">Change Log / Audit Trail</t>
  </si>
  <si>
    <t xml:space="preserve">Append-only — never delete a row, only add new ones</t>
  </si>
  <si>
    <t xml:space="preserve">Change ID</t>
  </si>
  <si>
    <t xml:space="preserve">Original Shift</t>
  </si>
  <si>
    <t xml:space="preserve">New Shift</t>
  </si>
  <si>
    <t xml:space="preserve">Approval Time</t>
  </si>
  <si>
    <t xml:space="preserve">Updated By</t>
  </si>
  <si>
    <t xml:space="preserve">CHG-0001</t>
  </si>
  <si>
    <t xml:space="preserve">Standard shift updated at joining review</t>
  </si>
  <si>
    <t xml:space="preserve">2026-08-20 10:15</t>
  </si>
  <si>
    <t xml:space="preserve">CHG-0002</t>
  </si>
  <si>
    <t xml:space="preserve">Approved shift-change request</t>
  </si>
  <si>
    <t xml:space="preserve">2026-09-05 09:40</t>
  </si>
  <si>
    <t xml:space="preserve">CHG-0003</t>
  </si>
  <si>
    <t xml:space="preserve">Unplanned sick leave (emergency change)</t>
  </si>
  <si>
    <t xml:space="preserve">2026-09-24 07:55</t>
  </si>
  <si>
    <t xml:space="preserve">Monthly Summary</t>
  </si>
  <si>
    <t xml:space="preserve">Auto-calculated from Monthly Roster for October 2026</t>
  </si>
  <si>
    <t xml:space="preserve">Scheduled Days</t>
  </si>
  <si>
    <t xml:space="preserve">Working Days</t>
  </si>
  <si>
    <t xml:space="preserve">Scheduled Hours</t>
  </si>
  <si>
    <t xml:space="preserve">Shift Roster SOP</t>
  </si>
  <si>
    <t xml:space="preserve">Purpose, scope and responsibilities for the monthly roster process</t>
  </si>
  <si>
    <t xml:space="preserve">Purpose</t>
  </si>
  <si>
    <t xml:space="preserve">To establish a standardized process for preparing, reviewing, approving, publishing, changing, and maintaining employee shift rosters.</t>
  </si>
  <si>
    <t xml:space="preserve">Scope</t>
  </si>
  <si>
    <t xml:space="preserve">All clinical and non-clinical clinic employees.</t>
  </si>
  <si>
    <t xml:space="preserve">HR Responsibilities</t>
  </si>
  <si>
    <t xml:space="preserve">Maintain employee master; prepare monthly roster; check staffing requirements; record leave &amp; weekly offs; review shift changes; obtain approvals; publish final roster; maintain change log &amp; previous versions; generate reports.</t>
  </si>
  <si>
    <t xml:space="preserve">Manager Responsibilities</t>
  </si>
  <si>
    <t xml:space="preserve">Review departmental coverage; confirm staffing requirements; submit/review shift changes; escalate staffing shortages.</t>
  </si>
  <si>
    <t xml:space="preserve">Employee Responsibilities</t>
  </si>
  <si>
    <t xml:space="preserve">Check the Live Roster; follow assigned shift; submit requests through the system; never make unauthorized changes; inform HR of discrepancies.</t>
  </si>
  <si>
    <t xml:space="preserve">Step 1</t>
  </si>
  <si>
    <t xml:space="preserve">HR collects employee list, new joiners, resignations, leave, public holidays, weekly offs, operating hours, department requirements and doctor schedules.</t>
  </si>
  <si>
    <t xml:space="preserve">Step 2</t>
  </si>
  <si>
    <t xml:space="preserve">HR creates the draft roster.</t>
  </si>
  <si>
    <t xml:space="preserve">Step 3</t>
  </si>
  <si>
    <t xml:space="preserve">Department manager reviews staffing.</t>
  </si>
  <si>
    <t xml:space="preserve">Step 4</t>
  </si>
  <si>
    <t xml:space="preserve">HR checks employee names, dates, shifts, hours, leave, weekly offs and department coverage.</t>
  </si>
  <si>
    <t xml:space="preserve">Step 5</t>
  </si>
  <si>
    <t xml:space="preserve">Management reviews if required.</t>
  </si>
  <si>
    <t xml:space="preserve">Step 6</t>
  </si>
  <si>
    <t xml:space="preserve">HR changes status to FINAL – HR CONFIRMED.</t>
  </si>
  <si>
    <t xml:space="preserve">Step 7</t>
  </si>
  <si>
    <t xml:space="preserve">HR publishes the Live Roster.</t>
  </si>
  <si>
    <t xml:space="preserve">Step 8</t>
  </si>
  <si>
    <t xml:space="preserve">Employees receive notification and check the Live Roster.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</si>
</sst>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General"/>
    <numFmt numFmtId="167" formatCode="hh:mm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A4B44"/>
      <name val="Arial"/>
      <family val="0"/>
      <charset val="1"/>
    </font>
    <font>
      <i val="true"/>
      <sz val="10"/>
      <color rgb="FF55665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8A8A8A"/>
      <name val="Arial"/>
      <family val="0"/>
      <charset val="1"/>
    </font>
    <font>
      <b val="true"/>
      <sz val="9"/>
      <color rgb="FF55665F"/>
      <name val="Arial"/>
      <family val="0"/>
      <charset val="1"/>
    </font>
    <font>
      <b val="true"/>
      <sz val="20"/>
      <color rgb="FF0A4B44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6D9"/>
        <bgColor rgb="FFFBE6E6"/>
      </patternFill>
    </fill>
    <fill>
      <patternFill patternType="solid">
        <fgColor rgb="FF0F6E63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E1DD"/>
      </left>
      <right style="thin">
        <color rgb="FFD3E1DD"/>
      </right>
      <top style="thin">
        <color rgb="FFD3E1DD"/>
      </top>
      <bottom style="thin">
        <color rgb="FFD3E1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C13F3F"/>
      </font>
      <fill>
        <patternFill>
          <bgColor rgb="FFFBE6E6"/>
        </patternFill>
      </fill>
    </dxf>
    <dxf>
      <fill>
        <patternFill>
          <bgColor rgb="FFEAF1EF"/>
        </patternFill>
      </fill>
    </dxf>
    <dxf>
      <fill>
        <patternFill>
          <bgColor rgb="FFEFE6F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63"/>
      <rgbColor rgb="FFC0C0C0"/>
      <rgbColor rgb="FF8A8A8A"/>
      <rgbColor rgb="FF9999FF"/>
      <rgbColor rgb="FFC13F3F"/>
      <rgbColor rgb="FFFFF6D9"/>
      <rgbColor rgb="FFEAF1EF"/>
      <rgbColor rgb="FF660066"/>
      <rgbColor rgb="FFFF8080"/>
      <rgbColor rgb="FF0066CC"/>
      <rgbColor rgb="FFD3E1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6F8"/>
      <rgbColor rgb="FFCCFFCC"/>
      <rgbColor rgb="FFFBE6E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665F"/>
      <rgbColor rgb="FF969696"/>
      <rgbColor rgb="FF0A4B4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4"/>
    <col collapsed="false" customWidth="true" hidden="false" outlineLevel="0" max="7" min="7" style="0" width="16"/>
    <col collapsed="false" customWidth="true" hidden="false" outlineLevel="0" max="8" min="8" style="0" width="14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4" t="n">
        <v>46301</v>
      </c>
      <c r="C4" s="5" t="s">
        <v>3</v>
      </c>
    </row>
    <row r="6" customFormat="false" ht="15" hidden="false" customHeight="false" outlineLevel="0" collapsed="false">
      <c r="A6" s="6" t="s">
        <v>4</v>
      </c>
      <c r="B6" s="6"/>
      <c r="D6" s="6" t="s">
        <v>5</v>
      </c>
      <c r="E6" s="6"/>
      <c r="G6" s="6" t="s">
        <v>6</v>
      </c>
      <c r="H6" s="6"/>
    </row>
    <row r="7" customFormat="false" ht="24.45" hidden="false" customHeight="false" outlineLevel="0" collapsed="false">
      <c r="A7" s="7" t="n">
        <f aca="false">COUNTA('Staff Master'!A5:A24)</f>
        <v>20</v>
      </c>
      <c r="B7" s="7"/>
      <c r="D7" s="7" t="n">
        <f aca="false">SUMPRODUCT(('Monthly Roster'!$A$5:$A$624=$B$4)*('Monthly Roster'!$K$5:$K$624&gt;0))</f>
        <v>18</v>
      </c>
      <c r="E7" s="7"/>
      <c r="G7" s="7" t="n">
        <f aca="false">COUNTIFS('Monthly Roster'!$A$5:$A$624,$B$4,'Monthly Roster'!$G$5:$G$624,"OFF")</f>
        <v>1</v>
      </c>
      <c r="H7" s="7"/>
    </row>
    <row r="9" customFormat="false" ht="15" hidden="false" customHeight="false" outlineLevel="0" collapsed="false">
      <c r="A9" s="6" t="s">
        <v>7</v>
      </c>
      <c r="B9" s="6"/>
      <c r="D9" s="6" t="s">
        <v>8</v>
      </c>
      <c r="E9" s="6"/>
      <c r="G9" s="6" t="s">
        <v>9</v>
      </c>
      <c r="H9" s="6"/>
    </row>
    <row r="10" customFormat="false" ht="24.45" hidden="false" customHeight="false" outlineLevel="0" collapsed="false">
      <c r="A10" s="7" t="n">
        <f aca="false">COUNTIFS('Monthly Roster'!$A$5:$A$624,$B$4,'Monthly Roster'!$G$5:$G$624,"AL")</f>
        <v>1</v>
      </c>
      <c r="B10" s="7"/>
      <c r="D10" s="7" t="n">
        <f aca="false">COUNTIFS('Monthly Roster'!$A$5:$A$624,$B$4,'Monthly Roster'!$G$5:$G$624,"SL")</f>
        <v>0</v>
      </c>
      <c r="E10" s="7"/>
      <c r="G10" s="7" t="n">
        <f aca="false">SUMPRODUCT(('Monthly Roster'!$A$5:$A$624=$B$4)*((('Monthly Roster'!$G$5:$G$624="EL")+('Monthly Roster'!$G$5:$G$624="UL")+('Monthly Roster'!$G$5:$G$624="OL")+('Monthly Roster'!$G$5:$G$624="PH"))))</f>
        <v>0</v>
      </c>
      <c r="H10" s="7"/>
    </row>
    <row r="12" customFormat="false" ht="15" hidden="false" customHeight="false" outlineLevel="0" collapsed="false">
      <c r="A12" s="6" t="s">
        <v>10</v>
      </c>
      <c r="B12" s="6"/>
      <c r="D12" s="6" t="s">
        <v>11</v>
      </c>
      <c r="E12" s="6"/>
      <c r="G12" s="6" t="s">
        <v>12</v>
      </c>
      <c r="H12" s="6"/>
    </row>
    <row r="13" customFormat="false" ht="24.45" hidden="false" customHeight="false" outlineLevel="0" collapsed="false">
      <c r="A13" s="7" t="n">
        <f aca="false">COUNTIFS('Shift Change Requests'!O:O,"Submitted")+COUNTIFS('Shift Change Requests'!O:O,"Pending Manager")+COUNTIFS('Shift Change Requests'!O:O,"Pending HR")</f>
        <v>1</v>
      </c>
      <c r="B13" s="7"/>
      <c r="D13" s="7" t="n">
        <f aca="false">COUNTIFS('Leave Register'!J:J,"Pending")+COUNTIFS('Shift Change Requests'!O:O,"Pending HR")</f>
        <v>1</v>
      </c>
      <c r="E13" s="7"/>
      <c r="G13" s="7" t="n">
        <f aca="false">COUNTIFS('Monthly Roster'!$A$5:$A$624,$B$4,'Monthly Roster'!$N$5:$N$624,"SHORT")</f>
        <v>1</v>
      </c>
      <c r="H13" s="7"/>
    </row>
  </sheetData>
  <mergeCells count="20">
    <mergeCell ref="A1:H1"/>
    <mergeCell ref="A2:H2"/>
    <mergeCell ref="A6:B6"/>
    <mergeCell ref="D6:E6"/>
    <mergeCell ref="G6:H6"/>
    <mergeCell ref="A7:B7"/>
    <mergeCell ref="D7:E7"/>
    <mergeCell ref="G7:H7"/>
    <mergeCell ref="A9:B9"/>
    <mergeCell ref="D9:E9"/>
    <mergeCell ref="G9:H9"/>
    <mergeCell ref="A10:B10"/>
    <mergeCell ref="D10:E10"/>
    <mergeCell ref="G10:H10"/>
    <mergeCell ref="A12:B12"/>
    <mergeCell ref="D12:E12"/>
    <mergeCell ref="G12:H12"/>
    <mergeCell ref="A13:B13"/>
    <mergeCell ref="D13:E13"/>
    <mergeCell ref="G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13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14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8" t="s">
        <v>15</v>
      </c>
    </row>
    <row r="5" customFormat="false" ht="15.75" hidden="false" customHeight="true" outlineLevel="0" collapsed="false">
      <c r="A5" s="9" t="s">
        <v>16</v>
      </c>
      <c r="B5" s="9"/>
      <c r="C5" s="9"/>
      <c r="D5" s="9"/>
      <c r="E5" s="9"/>
      <c r="F5" s="9"/>
      <c r="G5" s="9"/>
      <c r="H5" s="9"/>
      <c r="I5" s="9"/>
      <c r="J5" s="9"/>
    </row>
    <row r="6" customFormat="false" ht="15.75" hidden="false" customHeight="true" outlineLevel="0" collapsed="false">
      <c r="A6" s="9" t="s">
        <v>17</v>
      </c>
      <c r="B6" s="9"/>
      <c r="C6" s="9"/>
      <c r="D6" s="9"/>
      <c r="E6" s="9"/>
      <c r="F6" s="9"/>
      <c r="G6" s="9"/>
      <c r="H6" s="9"/>
      <c r="I6" s="9"/>
      <c r="J6" s="9"/>
    </row>
    <row r="7" customFormat="false" ht="15.75" hidden="false" customHeight="true" outlineLevel="0" collapsed="false">
      <c r="A7" s="9" t="s">
        <v>18</v>
      </c>
      <c r="B7" s="9"/>
      <c r="C7" s="9"/>
      <c r="D7" s="9"/>
      <c r="E7" s="9"/>
      <c r="F7" s="9"/>
      <c r="G7" s="9"/>
      <c r="H7" s="9"/>
      <c r="I7" s="9"/>
      <c r="J7" s="9"/>
    </row>
    <row r="8" customFormat="false" ht="15.75" hidden="false" customHeight="true" outlineLevel="0" collapsed="false">
      <c r="A8" s="9" t="s">
        <v>19</v>
      </c>
      <c r="B8" s="9"/>
      <c r="C8" s="9"/>
      <c r="D8" s="9"/>
      <c r="E8" s="9"/>
      <c r="F8" s="9"/>
      <c r="G8" s="9"/>
      <c r="H8" s="9"/>
      <c r="I8" s="9"/>
      <c r="J8" s="9"/>
    </row>
    <row r="9" customFormat="false" ht="15.75" hidden="false" customHeight="true" outlineLevel="0" collapsed="false">
      <c r="A9" s="9" t="s">
        <v>20</v>
      </c>
      <c r="B9" s="9"/>
      <c r="C9" s="9"/>
      <c r="D9" s="9"/>
      <c r="E9" s="9"/>
      <c r="F9" s="9"/>
      <c r="G9" s="9"/>
      <c r="H9" s="9"/>
      <c r="I9" s="9"/>
      <c r="J9" s="9"/>
    </row>
    <row r="10" customFormat="false" ht="15.75" hidden="false" customHeight="true" outlineLevel="0" collapsed="false">
      <c r="A10" s="9" t="s">
        <v>21</v>
      </c>
      <c r="B10" s="9"/>
      <c r="C10" s="9"/>
      <c r="D10" s="9"/>
      <c r="E10" s="9"/>
      <c r="F10" s="9"/>
      <c r="G10" s="9"/>
      <c r="H10" s="9"/>
      <c r="I10" s="9"/>
      <c r="J10" s="9"/>
    </row>
    <row r="11" customFormat="false" ht="15.75" hidden="false" customHeight="true" outlineLevel="0" collapsed="false">
      <c r="A11" s="9" t="s">
        <v>22</v>
      </c>
      <c r="B11" s="9"/>
      <c r="C11" s="9"/>
      <c r="D11" s="9"/>
      <c r="E11" s="9"/>
      <c r="F11" s="9"/>
      <c r="G11" s="9"/>
      <c r="H11" s="9"/>
      <c r="I11" s="9"/>
      <c r="J11" s="9"/>
    </row>
    <row r="12" customFormat="false" ht="15.75" hidden="false" customHeight="true" outlineLevel="0" collapsed="false">
      <c r="A12" s="9" t="s">
        <v>23</v>
      </c>
      <c r="B12" s="9"/>
      <c r="C12" s="9"/>
      <c r="D12" s="9"/>
      <c r="E12" s="9"/>
      <c r="F12" s="9"/>
      <c r="G12" s="9"/>
      <c r="H12" s="9"/>
      <c r="I12" s="9"/>
      <c r="J12" s="9"/>
    </row>
    <row r="14" customFormat="false" ht="15" hidden="false" customHeight="false" outlineLevel="0" collapsed="false">
      <c r="A14" s="8" t="s">
        <v>24</v>
      </c>
    </row>
    <row r="15" customFormat="false" ht="15" hidden="false" customHeight="false" outlineLevel="0" collapsed="false">
      <c r="A15" s="10" t="s">
        <v>25</v>
      </c>
      <c r="B15" s="11" t="s">
        <v>26</v>
      </c>
    </row>
  </sheetData>
  <mergeCells count="10">
    <mergeCell ref="A1:H1"/>
    <mergeCell ref="A2:H2"/>
    <mergeCell ref="A5:J5"/>
    <mergeCell ref="A6:J6"/>
    <mergeCell ref="A7:J7"/>
    <mergeCell ref="A8:J8"/>
    <mergeCell ref="A9:J9"/>
    <mergeCell ref="A10:J10"/>
    <mergeCell ref="A11:J11"/>
    <mergeCell ref="A12:J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26"/>
  </cols>
  <sheetData>
    <row r="1" customFormat="false" ht="19.7" hidden="false" customHeight="false" outlineLevel="0" collapsed="false">
      <c r="A1" s="1" t="s">
        <v>27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28</v>
      </c>
      <c r="B2" s="2"/>
      <c r="C2" s="2"/>
      <c r="D2" s="2"/>
      <c r="E2" s="2"/>
      <c r="F2" s="2"/>
      <c r="G2" s="2"/>
      <c r="H2" s="2"/>
    </row>
    <row r="4" customFormat="false" ht="19.5" hidden="false" customHeight="true" outlineLevel="0" collapsed="false">
      <c r="A4" s="12" t="s">
        <v>29</v>
      </c>
      <c r="B4" s="12" t="s">
        <v>30</v>
      </c>
      <c r="C4" s="12" t="s">
        <v>31</v>
      </c>
    </row>
    <row r="5" customFormat="false" ht="15" hidden="false" customHeight="false" outlineLevel="0" collapsed="false">
      <c r="A5" s="13" t="s">
        <v>32</v>
      </c>
      <c r="B5" s="10" t="s">
        <v>33</v>
      </c>
      <c r="C5" s="10" t="s">
        <v>34</v>
      </c>
    </row>
    <row r="6" customFormat="false" ht="15" hidden="false" customHeight="false" outlineLevel="0" collapsed="false">
      <c r="A6" s="13" t="s">
        <v>35</v>
      </c>
      <c r="B6" s="10" t="s">
        <v>36</v>
      </c>
      <c r="C6" s="10" t="s">
        <v>37</v>
      </c>
    </row>
    <row r="7" customFormat="false" ht="15" hidden="false" customHeight="false" outlineLevel="0" collapsed="false">
      <c r="A7" s="13" t="s">
        <v>38</v>
      </c>
      <c r="B7" s="10" t="s">
        <v>39</v>
      </c>
      <c r="C7" s="10" t="s">
        <v>37</v>
      </c>
    </row>
    <row r="8" customFormat="false" ht="15" hidden="false" customHeight="false" outlineLevel="0" collapsed="false">
      <c r="A8" s="13" t="s">
        <v>40</v>
      </c>
      <c r="B8" s="10" t="s">
        <v>41</v>
      </c>
      <c r="C8" s="10" t="s">
        <v>37</v>
      </c>
    </row>
    <row r="9" customFormat="false" ht="15" hidden="false" customHeight="false" outlineLevel="0" collapsed="false">
      <c r="A9" s="13" t="s">
        <v>42</v>
      </c>
      <c r="B9" s="10" t="s">
        <v>43</v>
      </c>
      <c r="C9" s="10" t="s">
        <v>44</v>
      </c>
    </row>
    <row r="10" customFormat="false" ht="15" hidden="false" customHeight="false" outlineLevel="0" collapsed="false">
      <c r="A10" s="13" t="s">
        <v>45</v>
      </c>
      <c r="B10" s="10" t="s">
        <v>46</v>
      </c>
      <c r="C10" s="10" t="s">
        <v>44</v>
      </c>
    </row>
    <row r="11" customFormat="false" ht="15" hidden="false" customHeight="false" outlineLevel="0" collapsed="false">
      <c r="A11" s="13" t="s">
        <v>47</v>
      </c>
      <c r="B11" s="10" t="s">
        <v>48</v>
      </c>
      <c r="C11" s="10" t="s">
        <v>44</v>
      </c>
    </row>
    <row r="12" customFormat="false" ht="15" hidden="false" customHeight="false" outlineLevel="0" collapsed="false">
      <c r="A12" s="13" t="s">
        <v>49</v>
      </c>
      <c r="B12" s="10" t="s">
        <v>50</v>
      </c>
      <c r="C12" s="10" t="s">
        <v>44</v>
      </c>
    </row>
    <row r="13" customFormat="false" ht="15" hidden="false" customHeight="false" outlineLevel="0" collapsed="false">
      <c r="A13" s="13" t="s">
        <v>51</v>
      </c>
      <c r="B13" s="10" t="s">
        <v>52</v>
      </c>
      <c r="C13" s="10" t="s">
        <v>37</v>
      </c>
    </row>
    <row r="14" customFormat="false" ht="15" hidden="false" customHeight="false" outlineLevel="0" collapsed="false">
      <c r="A14" s="13" t="s">
        <v>53</v>
      </c>
      <c r="B14" s="10" t="s">
        <v>54</v>
      </c>
      <c r="C14" s="10" t="s">
        <v>44</v>
      </c>
    </row>
    <row r="15" customFormat="false" ht="15" hidden="false" customHeight="false" outlineLevel="0" collapsed="false">
      <c r="A15" s="13" t="s">
        <v>55</v>
      </c>
      <c r="B15" s="10" t="s">
        <v>56</v>
      </c>
      <c r="C15" s="10" t="s">
        <v>57</v>
      </c>
    </row>
    <row r="16" customFormat="false" ht="15" hidden="false" customHeight="false" outlineLevel="0" collapsed="false">
      <c r="A16" s="13" t="s">
        <v>58</v>
      </c>
      <c r="B16" s="10" t="s">
        <v>59</v>
      </c>
      <c r="C16" s="10" t="s">
        <v>57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</cols>
  <sheetData>
    <row r="1" customFormat="false" ht="19.7" hidden="false" customHeight="false" outlineLevel="0" collapsed="false">
      <c r="A1" s="1" t="s">
        <v>60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61</v>
      </c>
      <c r="B2" s="2"/>
      <c r="C2" s="2"/>
      <c r="D2" s="2"/>
      <c r="E2" s="2"/>
      <c r="F2" s="2"/>
      <c r="G2" s="2"/>
      <c r="H2" s="2"/>
    </row>
    <row r="4" customFormat="false" ht="19.5" hidden="false" customHeight="true" outlineLevel="0" collapsed="false">
      <c r="A4" s="12" t="s">
        <v>62</v>
      </c>
    </row>
    <row r="5" customFormat="false" ht="15" hidden="false" customHeight="false" outlineLevel="0" collapsed="false">
      <c r="A5" s="10" t="s">
        <v>63</v>
      </c>
    </row>
    <row r="6" customFormat="false" ht="15" hidden="false" customHeight="false" outlineLevel="0" collapsed="false">
      <c r="A6" s="10" t="s">
        <v>64</v>
      </c>
    </row>
    <row r="7" customFormat="false" ht="15" hidden="false" customHeight="false" outlineLevel="0" collapsed="false">
      <c r="A7" s="10" t="s">
        <v>65</v>
      </c>
    </row>
    <row r="8" customFormat="false" ht="15" hidden="false" customHeight="false" outlineLevel="0" collapsed="false">
      <c r="A8" s="10" t="s">
        <v>66</v>
      </c>
    </row>
    <row r="9" customFormat="false" ht="15" hidden="false" customHeight="false" outlineLevel="0" collapsed="false">
      <c r="A9" s="10" t="s">
        <v>67</v>
      </c>
    </row>
    <row r="10" customFormat="false" ht="15" hidden="false" customHeight="false" outlineLevel="0" collapsed="false">
      <c r="A10" s="10" t="s">
        <v>68</v>
      </c>
    </row>
    <row r="11" customFormat="false" ht="15" hidden="false" customHeight="false" outlineLevel="0" collapsed="false">
      <c r="A11" s="10" t="s">
        <v>69</v>
      </c>
    </row>
    <row r="12" customFormat="false" ht="15" hidden="false" customHeight="false" outlineLevel="0" collapsed="false">
      <c r="A12" s="10" t="s">
        <v>70</v>
      </c>
    </row>
    <row r="13" customFormat="false" ht="15" hidden="false" customHeight="false" outlineLevel="0" collapsed="false">
      <c r="A13" s="10" t="s">
        <v>71</v>
      </c>
    </row>
    <row r="14" customFormat="false" ht="15" hidden="false" customHeight="false" outlineLevel="0" collapsed="false">
      <c r="A14" s="10" t="s">
        <v>72</v>
      </c>
    </row>
    <row r="15" customFormat="false" ht="15" hidden="false" customHeight="false" outlineLevel="0" collapsed="false">
      <c r="A15" s="10" t="s">
        <v>73</v>
      </c>
    </row>
    <row r="16" customFormat="false" ht="15" hidden="false" customHeight="false" outlineLevel="0" collapsed="false">
      <c r="A16" s="10" t="s">
        <v>74</v>
      </c>
    </row>
    <row r="17" customFormat="false" ht="15" hidden="false" customHeight="false" outlineLevel="0" collapsed="false">
      <c r="A17" s="10" t="s">
        <v>75</v>
      </c>
    </row>
    <row r="18" customFormat="false" ht="15" hidden="false" customHeight="false" outlineLevel="0" collapsed="false">
      <c r="A18" s="10" t="s">
        <v>76</v>
      </c>
    </row>
    <row r="19" customFormat="false" ht="15" hidden="false" customHeight="false" outlineLevel="0" collapsed="false">
      <c r="A19" s="10" t="s">
        <v>77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7" min="6" style="0" width="14"/>
  </cols>
  <sheetData>
    <row r="1" customFormat="false" ht="19.7" hidden="false" customHeight="false" outlineLevel="0" collapsed="false">
      <c r="A1" s="1" t="s">
        <v>78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79</v>
      </c>
      <c r="B2" s="2"/>
      <c r="C2" s="2"/>
      <c r="D2" s="2"/>
      <c r="E2" s="2"/>
      <c r="F2" s="2"/>
      <c r="G2" s="2"/>
      <c r="H2" s="2"/>
    </row>
    <row r="4" customFormat="false" ht="19.5" hidden="false" customHeight="true" outlineLevel="0" collapsed="false">
      <c r="A4" s="12" t="s">
        <v>80</v>
      </c>
      <c r="B4" s="12" t="s">
        <v>81</v>
      </c>
      <c r="C4" s="12" t="s">
        <v>82</v>
      </c>
      <c r="D4" s="12" t="s">
        <v>83</v>
      </c>
      <c r="E4" s="12" t="s">
        <v>84</v>
      </c>
      <c r="F4" s="12" t="s">
        <v>85</v>
      </c>
      <c r="G4" s="12" t="s">
        <v>86</v>
      </c>
    </row>
    <row r="5" customFormat="false" ht="15" hidden="false" customHeight="false" outlineLevel="0" collapsed="false">
      <c r="A5" s="10" t="s">
        <v>87</v>
      </c>
      <c r="B5" s="10" t="s">
        <v>88</v>
      </c>
      <c r="C5" s="14" t="n">
        <v>0.333333333333333</v>
      </c>
      <c r="D5" s="14" t="n">
        <v>0.708333333333333</v>
      </c>
      <c r="E5" s="10" t="n">
        <v>60</v>
      </c>
      <c r="F5" s="10" t="s">
        <v>89</v>
      </c>
      <c r="G5" s="13" t="n">
        <f aca="false">IF(F5="Yes",ROUND((D5-C5)*24-E5/60,2),0)</f>
        <v>8</v>
      </c>
    </row>
    <row r="6" customFormat="false" ht="15" hidden="false" customHeight="false" outlineLevel="0" collapsed="false">
      <c r="A6" s="10" t="s">
        <v>90</v>
      </c>
      <c r="B6" s="10" t="s">
        <v>91</v>
      </c>
      <c r="C6" s="14" t="n">
        <v>0.375</v>
      </c>
      <c r="D6" s="14" t="n">
        <v>0.75</v>
      </c>
      <c r="E6" s="10" t="n">
        <v>60</v>
      </c>
      <c r="F6" s="10" t="s">
        <v>89</v>
      </c>
      <c r="G6" s="13" t="n">
        <f aca="false">IF(F6="Yes",ROUND((D6-C6)*24-E6/60,2),0)</f>
        <v>8</v>
      </c>
    </row>
    <row r="7" customFormat="false" ht="15" hidden="false" customHeight="false" outlineLevel="0" collapsed="false">
      <c r="A7" s="10" t="s">
        <v>92</v>
      </c>
      <c r="B7" s="10" t="s">
        <v>93</v>
      </c>
      <c r="C7" s="14" t="n">
        <v>0.416666666666667</v>
      </c>
      <c r="D7" s="14" t="n">
        <v>0.791666666666667</v>
      </c>
      <c r="E7" s="10" t="n">
        <v>60</v>
      </c>
      <c r="F7" s="10" t="s">
        <v>89</v>
      </c>
      <c r="G7" s="13" t="n">
        <f aca="false">IF(F7="Yes",ROUND((D7-C7)*24-E7/60,2),0)</f>
        <v>8</v>
      </c>
    </row>
    <row r="8" customFormat="false" ht="15" hidden="false" customHeight="false" outlineLevel="0" collapsed="false">
      <c r="A8" s="10" t="s">
        <v>94</v>
      </c>
      <c r="B8" s="10" t="s">
        <v>95</v>
      </c>
      <c r="C8" s="14" t="n">
        <v>0.541666666666667</v>
      </c>
      <c r="D8" s="14" t="n">
        <v>0.916666666666667</v>
      </c>
      <c r="E8" s="10" t="n">
        <v>60</v>
      </c>
      <c r="F8" s="10" t="s">
        <v>89</v>
      </c>
      <c r="G8" s="13" t="n">
        <f aca="false">IF(F8="Yes",ROUND((D8-C8)*24-E8/60,2),0)</f>
        <v>8</v>
      </c>
    </row>
    <row r="9" customFormat="false" ht="15" hidden="false" customHeight="false" outlineLevel="0" collapsed="false">
      <c r="A9" s="10" t="s">
        <v>96</v>
      </c>
      <c r="B9" s="10" t="s">
        <v>65</v>
      </c>
      <c r="C9" s="14" t="n">
        <v>0.375</v>
      </c>
      <c r="D9" s="14" t="n">
        <v>0.708333333333333</v>
      </c>
      <c r="E9" s="10" t="n">
        <v>60</v>
      </c>
      <c r="F9" s="10" t="s">
        <v>89</v>
      </c>
      <c r="G9" s="13" t="n">
        <f aca="false">IF(F9="Yes",ROUND((D9-C9)*24-E9/60,2),0)</f>
        <v>7</v>
      </c>
    </row>
    <row r="10" customFormat="false" ht="15" hidden="false" customHeight="false" outlineLevel="0" collapsed="false">
      <c r="A10" s="10" t="s">
        <v>97</v>
      </c>
      <c r="B10" s="10" t="s">
        <v>98</v>
      </c>
      <c r="C10" s="14"/>
      <c r="D10" s="14"/>
      <c r="E10" s="10" t="n">
        <v>0</v>
      </c>
      <c r="F10" s="10" t="s">
        <v>99</v>
      </c>
      <c r="G10" s="13" t="n">
        <f aca="false">IF(F10="Yes",ROUND((D10-C10)*24-E10/60,2),0)</f>
        <v>0</v>
      </c>
    </row>
    <row r="11" customFormat="false" ht="15" hidden="false" customHeight="false" outlineLevel="0" collapsed="false">
      <c r="A11" s="10" t="s">
        <v>100</v>
      </c>
      <c r="B11" s="10" t="s">
        <v>101</v>
      </c>
      <c r="C11" s="14"/>
      <c r="D11" s="14"/>
      <c r="E11" s="10" t="n">
        <v>0</v>
      </c>
      <c r="F11" s="10" t="s">
        <v>99</v>
      </c>
      <c r="G11" s="13" t="n">
        <f aca="false">IF(F11="Yes",ROUND((D11-C11)*24-E11/60,2),0)</f>
        <v>0</v>
      </c>
    </row>
    <row r="12" customFormat="false" ht="15" hidden="false" customHeight="false" outlineLevel="0" collapsed="false">
      <c r="A12" s="10" t="s">
        <v>102</v>
      </c>
      <c r="B12" s="10" t="s">
        <v>103</v>
      </c>
      <c r="C12" s="14"/>
      <c r="D12" s="14"/>
      <c r="E12" s="10" t="n">
        <v>0</v>
      </c>
      <c r="F12" s="10" t="s">
        <v>99</v>
      </c>
      <c r="G12" s="13" t="n">
        <f aca="false">IF(F12="Yes",ROUND((D12-C12)*24-E12/60,2),0)</f>
        <v>0</v>
      </c>
    </row>
    <row r="13" customFormat="false" ht="15" hidden="false" customHeight="false" outlineLevel="0" collapsed="false">
      <c r="A13" s="10" t="s">
        <v>104</v>
      </c>
      <c r="B13" s="10" t="s">
        <v>105</v>
      </c>
      <c r="C13" s="14"/>
      <c r="D13" s="14"/>
      <c r="E13" s="10" t="n">
        <v>0</v>
      </c>
      <c r="F13" s="10" t="s">
        <v>99</v>
      </c>
      <c r="G13" s="13" t="n">
        <f aca="false">IF(F13="Yes",ROUND((D13-C13)*24-E13/60,2),0)</f>
        <v>0</v>
      </c>
    </row>
    <row r="14" customFormat="false" ht="15" hidden="false" customHeight="false" outlineLevel="0" collapsed="false">
      <c r="A14" s="10" t="s">
        <v>106</v>
      </c>
      <c r="B14" s="10" t="s">
        <v>107</v>
      </c>
      <c r="C14" s="14"/>
      <c r="D14" s="14"/>
      <c r="E14" s="10" t="n">
        <v>0</v>
      </c>
      <c r="F14" s="10" t="s">
        <v>99</v>
      </c>
      <c r="G14" s="13" t="n">
        <f aca="false">IF(F14="Yes",ROUND((D14-C14)*24-E14/60,2),0)</f>
        <v>0</v>
      </c>
    </row>
    <row r="15" customFormat="false" ht="15" hidden="false" customHeight="false" outlineLevel="0" collapsed="false">
      <c r="A15" s="10" t="s">
        <v>108</v>
      </c>
      <c r="B15" s="10" t="s">
        <v>109</v>
      </c>
      <c r="C15" s="14"/>
      <c r="D15" s="14"/>
      <c r="E15" s="10" t="n">
        <v>0</v>
      </c>
      <c r="F15" s="10" t="s">
        <v>99</v>
      </c>
      <c r="G15" s="13" t="n">
        <f aca="false">IF(F15="Yes",ROUND((D15-C15)*24-E15/60,2),0)</f>
        <v>0</v>
      </c>
    </row>
    <row r="16" customFormat="false" ht="15" hidden="false" customHeight="false" outlineLevel="0" collapsed="false">
      <c r="A16" s="10" t="s">
        <v>110</v>
      </c>
      <c r="B16" s="10" t="s">
        <v>111</v>
      </c>
      <c r="C16" s="14"/>
      <c r="D16" s="14"/>
      <c r="E16" s="10" t="n">
        <v>0</v>
      </c>
      <c r="F16" s="10" t="s">
        <v>99</v>
      </c>
      <c r="G16" s="13" t="n">
        <f aca="false">IF(F16="Yes",ROUND((D16-C16)*24-E16/60,2),0)</f>
        <v>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8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9" min="7" style="0" width="13"/>
    <col collapsed="false" customWidth="true" hidden="false" outlineLevel="0" max="10" min="10" style="0" width="24"/>
    <col collapsed="false" customWidth="true" hidden="false" outlineLevel="0" max="13" min="11" style="0" width="10"/>
    <col collapsed="false" customWidth="true" hidden="false" outlineLevel="0" max="14" min="14" style="0" width="14"/>
    <col collapsed="false" customWidth="true" hidden="false" outlineLevel="0" max="15" min="15" style="0" width="26"/>
  </cols>
  <sheetData>
    <row r="1" customFormat="false" ht="19.7" hidden="false" customHeight="false" outlineLevel="0" collapsed="false">
      <c r="A1" s="1" t="s">
        <v>112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113</v>
      </c>
      <c r="B2" s="2"/>
      <c r="C2" s="2"/>
      <c r="D2" s="2"/>
      <c r="E2" s="2"/>
      <c r="F2" s="2"/>
      <c r="G2" s="2"/>
      <c r="H2" s="2"/>
    </row>
    <row r="4" customFormat="false" ht="19.5" hidden="false" customHeight="true" outlineLevel="0" collapsed="false">
      <c r="A4" s="12" t="s">
        <v>114</v>
      </c>
      <c r="B4" s="12" t="s">
        <v>115</v>
      </c>
      <c r="C4" s="12" t="s">
        <v>116</v>
      </c>
      <c r="D4" s="12" t="s">
        <v>117</v>
      </c>
      <c r="E4" s="12" t="s">
        <v>118</v>
      </c>
      <c r="F4" s="12" t="s">
        <v>119</v>
      </c>
      <c r="G4" s="12" t="s">
        <v>120</v>
      </c>
      <c r="H4" s="12" t="s">
        <v>121</v>
      </c>
      <c r="I4" s="12" t="s">
        <v>122</v>
      </c>
      <c r="J4" s="12" t="s">
        <v>123</v>
      </c>
      <c r="K4" s="12" t="s">
        <v>124</v>
      </c>
      <c r="L4" s="12" t="s">
        <v>125</v>
      </c>
      <c r="M4" s="12" t="s">
        <v>98</v>
      </c>
      <c r="N4" s="12" t="s">
        <v>126</v>
      </c>
      <c r="O4" s="12" t="s">
        <v>127</v>
      </c>
    </row>
    <row r="5" customFormat="false" ht="15" hidden="false" customHeight="false" outlineLevel="0" collapsed="false">
      <c r="A5" s="10" t="s">
        <v>128</v>
      </c>
      <c r="B5" s="10" t="s">
        <v>34</v>
      </c>
      <c r="C5" s="10" t="s">
        <v>129</v>
      </c>
      <c r="D5" s="10" t="s">
        <v>33</v>
      </c>
      <c r="E5" s="10" t="s">
        <v>63</v>
      </c>
      <c r="F5" s="10" t="s">
        <v>130</v>
      </c>
      <c r="G5" s="4" t="n">
        <v>43471</v>
      </c>
      <c r="H5" s="10" t="s">
        <v>131</v>
      </c>
      <c r="I5" s="10" t="s">
        <v>132</v>
      </c>
      <c r="J5" s="10" t="s">
        <v>133</v>
      </c>
      <c r="K5" s="10" t="s">
        <v>134</v>
      </c>
      <c r="L5" s="10" t="s">
        <v>90</v>
      </c>
      <c r="M5" s="10" t="s">
        <v>135</v>
      </c>
      <c r="N5" s="10" t="s">
        <v>136</v>
      </c>
      <c r="O5" s="10"/>
    </row>
    <row r="6" customFormat="false" ht="15" hidden="false" customHeight="false" outlineLevel="0" collapsed="false">
      <c r="A6" s="10" t="s">
        <v>137</v>
      </c>
      <c r="B6" s="10" t="s">
        <v>44</v>
      </c>
      <c r="C6" s="10" t="s">
        <v>138</v>
      </c>
      <c r="D6" s="10" t="s">
        <v>48</v>
      </c>
      <c r="E6" s="10" t="s">
        <v>64</v>
      </c>
      <c r="F6" s="10" t="s">
        <v>130</v>
      </c>
      <c r="G6" s="4" t="n">
        <v>43535</v>
      </c>
      <c r="H6" s="10" t="s">
        <v>131</v>
      </c>
      <c r="I6" s="10" t="s">
        <v>139</v>
      </c>
      <c r="J6" s="10" t="s">
        <v>140</v>
      </c>
      <c r="K6" s="10" t="s">
        <v>128</v>
      </c>
      <c r="L6" s="10" t="s">
        <v>96</v>
      </c>
      <c r="M6" s="10" t="s">
        <v>141</v>
      </c>
      <c r="N6" s="10" t="s">
        <v>136</v>
      </c>
      <c r="O6" s="10"/>
    </row>
    <row r="7" customFormat="false" ht="15" hidden="false" customHeight="false" outlineLevel="0" collapsed="false">
      <c r="A7" s="10" t="s">
        <v>142</v>
      </c>
      <c r="B7" s="10" t="s">
        <v>143</v>
      </c>
      <c r="C7" s="10" t="s">
        <v>129</v>
      </c>
      <c r="D7" s="10" t="s">
        <v>48</v>
      </c>
      <c r="E7" s="10" t="s">
        <v>65</v>
      </c>
      <c r="F7" s="10" t="s">
        <v>130</v>
      </c>
      <c r="G7" s="4" t="n">
        <v>43862</v>
      </c>
      <c r="H7" s="10" t="s">
        <v>131</v>
      </c>
      <c r="I7" s="10" t="s">
        <v>144</v>
      </c>
      <c r="J7" s="10" t="s">
        <v>145</v>
      </c>
      <c r="K7" s="10" t="s">
        <v>137</v>
      </c>
      <c r="L7" s="10" t="s">
        <v>96</v>
      </c>
      <c r="M7" s="10" t="s">
        <v>135</v>
      </c>
      <c r="N7" s="10" t="s">
        <v>136</v>
      </c>
      <c r="O7" s="10"/>
    </row>
    <row r="8" customFormat="false" ht="15" hidden="false" customHeight="false" outlineLevel="0" collapsed="false">
      <c r="A8" s="10" t="s">
        <v>146</v>
      </c>
      <c r="B8" s="10" t="s">
        <v>147</v>
      </c>
      <c r="C8" s="10" t="s">
        <v>138</v>
      </c>
      <c r="D8" s="10" t="s">
        <v>43</v>
      </c>
      <c r="E8" s="10" t="s">
        <v>66</v>
      </c>
      <c r="F8" s="10" t="s">
        <v>130</v>
      </c>
      <c r="G8" s="4" t="n">
        <v>43997</v>
      </c>
      <c r="H8" s="10" t="s">
        <v>131</v>
      </c>
      <c r="I8" s="10" t="s">
        <v>148</v>
      </c>
      <c r="J8" s="10" t="s">
        <v>149</v>
      </c>
      <c r="K8" s="10" t="s">
        <v>137</v>
      </c>
      <c r="L8" s="10" t="s">
        <v>96</v>
      </c>
      <c r="M8" s="10" t="s">
        <v>141</v>
      </c>
      <c r="N8" s="10" t="s">
        <v>136</v>
      </c>
      <c r="O8" s="10"/>
    </row>
    <row r="9" customFormat="false" ht="15" hidden="false" customHeight="false" outlineLevel="0" collapsed="false">
      <c r="A9" s="10" t="s">
        <v>150</v>
      </c>
      <c r="B9" s="10" t="s">
        <v>151</v>
      </c>
      <c r="C9" s="10" t="s">
        <v>138</v>
      </c>
      <c r="D9" s="10" t="s">
        <v>43</v>
      </c>
      <c r="E9" s="10" t="s">
        <v>66</v>
      </c>
      <c r="F9" s="10" t="s">
        <v>152</v>
      </c>
      <c r="G9" s="4" t="n">
        <v>44440</v>
      </c>
      <c r="H9" s="10" t="s">
        <v>131</v>
      </c>
      <c r="I9" s="10" t="s">
        <v>153</v>
      </c>
      <c r="J9" s="10" t="s">
        <v>154</v>
      </c>
      <c r="K9" s="10" t="s">
        <v>137</v>
      </c>
      <c r="L9" s="10" t="s">
        <v>96</v>
      </c>
      <c r="M9" s="10" t="s">
        <v>155</v>
      </c>
      <c r="N9" s="10" t="s">
        <v>136</v>
      </c>
      <c r="O9" s="10" t="s">
        <v>156</v>
      </c>
    </row>
    <row r="10" customFormat="false" ht="15" hidden="false" customHeight="false" outlineLevel="0" collapsed="false">
      <c r="A10" s="10" t="s">
        <v>157</v>
      </c>
      <c r="B10" s="10" t="s">
        <v>158</v>
      </c>
      <c r="C10" s="10" t="s">
        <v>129</v>
      </c>
      <c r="D10" s="10" t="s">
        <v>48</v>
      </c>
      <c r="E10" s="10" t="s">
        <v>67</v>
      </c>
      <c r="F10" s="10" t="s">
        <v>130</v>
      </c>
      <c r="G10" s="4" t="n">
        <v>44206</v>
      </c>
      <c r="H10" s="10" t="s">
        <v>131</v>
      </c>
      <c r="I10" s="10" t="s">
        <v>159</v>
      </c>
      <c r="J10" s="10" t="s">
        <v>160</v>
      </c>
      <c r="K10" s="10" t="s">
        <v>137</v>
      </c>
      <c r="L10" s="10" t="s">
        <v>96</v>
      </c>
      <c r="M10" s="10" t="s">
        <v>135</v>
      </c>
      <c r="N10" s="10" t="s">
        <v>136</v>
      </c>
      <c r="O10" s="10"/>
    </row>
    <row r="11" customFormat="false" ht="15" hidden="false" customHeight="false" outlineLevel="0" collapsed="false">
      <c r="A11" s="10" t="s">
        <v>161</v>
      </c>
      <c r="B11" s="10" t="s">
        <v>162</v>
      </c>
      <c r="C11" s="10" t="s">
        <v>138</v>
      </c>
      <c r="D11" s="10" t="s">
        <v>46</v>
      </c>
      <c r="E11" s="10" t="s">
        <v>68</v>
      </c>
      <c r="F11" s="10" t="s">
        <v>130</v>
      </c>
      <c r="G11" s="4" t="n">
        <v>43697</v>
      </c>
      <c r="H11" s="10" t="s">
        <v>131</v>
      </c>
      <c r="I11" s="10" t="s">
        <v>163</v>
      </c>
      <c r="J11" s="10" t="s">
        <v>164</v>
      </c>
      <c r="K11" s="10" t="s">
        <v>137</v>
      </c>
      <c r="L11" s="10" t="s">
        <v>87</v>
      </c>
      <c r="M11" s="10" t="s">
        <v>155</v>
      </c>
      <c r="N11" s="10" t="s">
        <v>136</v>
      </c>
      <c r="O11" s="10"/>
    </row>
    <row r="12" customFormat="false" ht="15" hidden="false" customHeight="false" outlineLevel="0" collapsed="false">
      <c r="A12" s="10" t="s">
        <v>165</v>
      </c>
      <c r="B12" s="10" t="s">
        <v>166</v>
      </c>
      <c r="C12" s="10" t="s">
        <v>138</v>
      </c>
      <c r="D12" s="10" t="s">
        <v>46</v>
      </c>
      <c r="E12" s="10" t="s">
        <v>68</v>
      </c>
      <c r="F12" s="10" t="s">
        <v>130</v>
      </c>
      <c r="G12" s="4" t="n">
        <v>43956</v>
      </c>
      <c r="H12" s="10" t="s">
        <v>131</v>
      </c>
      <c r="I12" s="10" t="s">
        <v>167</v>
      </c>
      <c r="J12" s="10" t="s">
        <v>168</v>
      </c>
      <c r="K12" s="10" t="s">
        <v>137</v>
      </c>
      <c r="L12" s="10" t="s">
        <v>90</v>
      </c>
      <c r="M12" s="10" t="s">
        <v>169</v>
      </c>
      <c r="N12" s="10" t="s">
        <v>136</v>
      </c>
      <c r="O12" s="10"/>
    </row>
    <row r="13" customFormat="false" ht="15" hidden="false" customHeight="false" outlineLevel="0" collapsed="false">
      <c r="A13" s="10" t="s">
        <v>170</v>
      </c>
      <c r="B13" s="10" t="s">
        <v>171</v>
      </c>
      <c r="C13" s="10" t="s">
        <v>138</v>
      </c>
      <c r="D13" s="10" t="s">
        <v>46</v>
      </c>
      <c r="E13" s="10" t="s">
        <v>68</v>
      </c>
      <c r="F13" s="10" t="s">
        <v>130</v>
      </c>
      <c r="G13" s="4" t="n">
        <v>44512</v>
      </c>
      <c r="H13" s="10" t="s">
        <v>131</v>
      </c>
      <c r="I13" s="10" t="s">
        <v>172</v>
      </c>
      <c r="J13" s="10" t="s">
        <v>173</v>
      </c>
      <c r="K13" s="10" t="s">
        <v>137</v>
      </c>
      <c r="L13" s="10" t="s">
        <v>94</v>
      </c>
      <c r="M13" s="10" t="s">
        <v>135</v>
      </c>
      <c r="N13" s="10" t="s">
        <v>136</v>
      </c>
      <c r="O13" s="10"/>
    </row>
    <row r="14" customFormat="false" ht="15" hidden="false" customHeight="false" outlineLevel="0" collapsed="false">
      <c r="A14" s="10" t="s">
        <v>174</v>
      </c>
      <c r="B14" s="10" t="s">
        <v>175</v>
      </c>
      <c r="C14" s="10" t="s">
        <v>138</v>
      </c>
      <c r="D14" s="10" t="s">
        <v>41</v>
      </c>
      <c r="E14" s="10" t="s">
        <v>69</v>
      </c>
      <c r="F14" s="10" t="s">
        <v>130</v>
      </c>
      <c r="G14" s="4" t="n">
        <v>43573</v>
      </c>
      <c r="H14" s="10" t="s">
        <v>131</v>
      </c>
      <c r="I14" s="10" t="s">
        <v>176</v>
      </c>
      <c r="J14" s="10" t="s">
        <v>177</v>
      </c>
      <c r="K14" s="10" t="s">
        <v>178</v>
      </c>
      <c r="L14" s="10" t="s">
        <v>87</v>
      </c>
      <c r="M14" s="10" t="s">
        <v>169</v>
      </c>
      <c r="N14" s="10" t="s">
        <v>136</v>
      </c>
      <c r="O14" s="10"/>
    </row>
    <row r="15" customFormat="false" ht="15" hidden="false" customHeight="false" outlineLevel="0" collapsed="false">
      <c r="A15" s="10" t="s">
        <v>179</v>
      </c>
      <c r="B15" s="10" t="s">
        <v>180</v>
      </c>
      <c r="C15" s="10" t="s">
        <v>129</v>
      </c>
      <c r="D15" s="10" t="s">
        <v>41</v>
      </c>
      <c r="E15" s="10" t="s">
        <v>69</v>
      </c>
      <c r="F15" s="10" t="s">
        <v>130</v>
      </c>
      <c r="G15" s="4" t="n">
        <v>44083</v>
      </c>
      <c r="H15" s="10" t="s">
        <v>131</v>
      </c>
      <c r="I15" s="10" t="s">
        <v>181</v>
      </c>
      <c r="J15" s="10" t="s">
        <v>182</v>
      </c>
      <c r="K15" s="10" t="s">
        <v>178</v>
      </c>
      <c r="L15" s="10" t="s">
        <v>90</v>
      </c>
      <c r="M15" s="10" t="s">
        <v>183</v>
      </c>
      <c r="N15" s="10" t="s">
        <v>136</v>
      </c>
      <c r="O15" s="10"/>
    </row>
    <row r="16" customFormat="false" ht="15" hidden="false" customHeight="false" outlineLevel="0" collapsed="false">
      <c r="A16" s="10" t="s">
        <v>184</v>
      </c>
      <c r="B16" s="10" t="s">
        <v>185</v>
      </c>
      <c r="C16" s="10" t="s">
        <v>138</v>
      </c>
      <c r="D16" s="10" t="s">
        <v>41</v>
      </c>
      <c r="E16" s="10" t="s">
        <v>69</v>
      </c>
      <c r="F16" s="10" t="s">
        <v>130</v>
      </c>
      <c r="G16" s="4" t="n">
        <v>44584</v>
      </c>
      <c r="H16" s="10" t="s">
        <v>131</v>
      </c>
      <c r="I16" s="10" t="s">
        <v>186</v>
      </c>
      <c r="J16" s="10" t="s">
        <v>187</v>
      </c>
      <c r="K16" s="10" t="s">
        <v>178</v>
      </c>
      <c r="L16" s="10" t="s">
        <v>94</v>
      </c>
      <c r="M16" s="10" t="s">
        <v>135</v>
      </c>
      <c r="N16" s="10" t="s">
        <v>136</v>
      </c>
      <c r="O16" s="10"/>
    </row>
    <row r="17" customFormat="false" ht="15" hidden="false" customHeight="false" outlineLevel="0" collapsed="false">
      <c r="A17" s="10" t="s">
        <v>188</v>
      </c>
      <c r="B17" s="10" t="s">
        <v>189</v>
      </c>
      <c r="C17" s="10" t="s">
        <v>138</v>
      </c>
      <c r="D17" s="10" t="s">
        <v>43</v>
      </c>
      <c r="E17" s="10" t="s">
        <v>70</v>
      </c>
      <c r="F17" s="10" t="s">
        <v>130</v>
      </c>
      <c r="G17" s="4" t="n">
        <v>43892</v>
      </c>
      <c r="H17" s="10" t="s">
        <v>131</v>
      </c>
      <c r="I17" s="10" t="s">
        <v>190</v>
      </c>
      <c r="J17" s="10" t="s">
        <v>191</v>
      </c>
      <c r="K17" s="10" t="s">
        <v>146</v>
      </c>
      <c r="L17" s="10" t="s">
        <v>87</v>
      </c>
      <c r="M17" s="10" t="s">
        <v>155</v>
      </c>
      <c r="N17" s="10" t="s">
        <v>136</v>
      </c>
      <c r="O17" s="10"/>
    </row>
    <row r="18" customFormat="false" ht="15" hidden="false" customHeight="false" outlineLevel="0" collapsed="false">
      <c r="A18" s="10" t="s">
        <v>192</v>
      </c>
      <c r="B18" s="10" t="s">
        <v>193</v>
      </c>
      <c r="C18" s="10" t="s">
        <v>138</v>
      </c>
      <c r="D18" s="10" t="s">
        <v>43</v>
      </c>
      <c r="E18" s="10" t="s">
        <v>70</v>
      </c>
      <c r="F18" s="10" t="s">
        <v>130</v>
      </c>
      <c r="G18" s="4" t="n">
        <v>44396</v>
      </c>
      <c r="H18" s="10" t="s">
        <v>131</v>
      </c>
      <c r="I18" s="10" t="s">
        <v>194</v>
      </c>
      <c r="J18" s="10" t="s">
        <v>195</v>
      </c>
      <c r="K18" s="10" t="s">
        <v>146</v>
      </c>
      <c r="L18" s="10" t="s">
        <v>90</v>
      </c>
      <c r="M18" s="10" t="s">
        <v>135</v>
      </c>
      <c r="N18" s="10" t="s">
        <v>136</v>
      </c>
      <c r="O18" s="10"/>
    </row>
    <row r="19" customFormat="false" ht="15" hidden="false" customHeight="false" outlineLevel="0" collapsed="false">
      <c r="A19" s="10" t="s">
        <v>196</v>
      </c>
      <c r="B19" s="10" t="s">
        <v>197</v>
      </c>
      <c r="C19" s="10" t="s">
        <v>129</v>
      </c>
      <c r="D19" s="10" t="s">
        <v>50</v>
      </c>
      <c r="E19" s="10" t="s">
        <v>71</v>
      </c>
      <c r="F19" s="10" t="s">
        <v>130</v>
      </c>
      <c r="G19" s="4" t="n">
        <v>44241</v>
      </c>
      <c r="H19" s="10" t="s">
        <v>131</v>
      </c>
      <c r="I19" s="10" t="s">
        <v>198</v>
      </c>
      <c r="J19" s="10" t="s">
        <v>199</v>
      </c>
      <c r="K19" s="10" t="s">
        <v>137</v>
      </c>
      <c r="L19" s="10" t="s">
        <v>90</v>
      </c>
      <c r="M19" s="10" t="s">
        <v>141</v>
      </c>
      <c r="N19" s="10" t="s">
        <v>136</v>
      </c>
      <c r="O19" s="10"/>
    </row>
    <row r="20" customFormat="false" ht="15" hidden="false" customHeight="false" outlineLevel="0" collapsed="false">
      <c r="A20" s="10" t="s">
        <v>200</v>
      </c>
      <c r="B20" s="10" t="s">
        <v>201</v>
      </c>
      <c r="C20" s="10" t="s">
        <v>129</v>
      </c>
      <c r="D20" s="10" t="s">
        <v>54</v>
      </c>
      <c r="E20" s="10" t="s">
        <v>72</v>
      </c>
      <c r="F20" s="10" t="s">
        <v>130</v>
      </c>
      <c r="G20" s="4" t="n">
        <v>43800</v>
      </c>
      <c r="H20" s="10" t="s">
        <v>131</v>
      </c>
      <c r="I20" s="10" t="s">
        <v>202</v>
      </c>
      <c r="J20" s="10" t="s">
        <v>203</v>
      </c>
      <c r="K20" s="10" t="s">
        <v>146</v>
      </c>
      <c r="L20" s="10" t="s">
        <v>87</v>
      </c>
      <c r="M20" s="10" t="s">
        <v>135</v>
      </c>
      <c r="N20" s="10" t="s">
        <v>136</v>
      </c>
      <c r="O20" s="10"/>
    </row>
    <row r="21" customFormat="false" ht="15" hidden="false" customHeight="false" outlineLevel="0" collapsed="false">
      <c r="A21" s="10" t="s">
        <v>204</v>
      </c>
      <c r="B21" s="10" t="s">
        <v>205</v>
      </c>
      <c r="C21" s="10" t="s">
        <v>138</v>
      </c>
      <c r="D21" s="10" t="s">
        <v>52</v>
      </c>
      <c r="E21" s="10" t="s">
        <v>73</v>
      </c>
      <c r="F21" s="10" t="s">
        <v>130</v>
      </c>
      <c r="G21" s="4" t="n">
        <v>44110</v>
      </c>
      <c r="H21" s="10" t="s">
        <v>131</v>
      </c>
      <c r="I21" s="10" t="s">
        <v>206</v>
      </c>
      <c r="J21" s="10" t="s">
        <v>207</v>
      </c>
      <c r="K21" s="10" t="s">
        <v>178</v>
      </c>
      <c r="L21" s="10" t="s">
        <v>87</v>
      </c>
      <c r="M21" s="10" t="s">
        <v>155</v>
      </c>
      <c r="N21" s="10" t="s">
        <v>136</v>
      </c>
      <c r="O21" s="10"/>
    </row>
    <row r="22" customFormat="false" ht="15" hidden="false" customHeight="false" outlineLevel="0" collapsed="false">
      <c r="A22" s="10" t="s">
        <v>208</v>
      </c>
      <c r="B22" s="10" t="s">
        <v>209</v>
      </c>
      <c r="C22" s="10" t="s">
        <v>138</v>
      </c>
      <c r="D22" s="10" t="s">
        <v>56</v>
      </c>
      <c r="E22" s="10" t="s">
        <v>74</v>
      </c>
      <c r="F22" s="10" t="s">
        <v>130</v>
      </c>
      <c r="G22" s="4" t="n">
        <v>43641</v>
      </c>
      <c r="H22" s="10" t="s">
        <v>131</v>
      </c>
      <c r="I22" s="10" t="s">
        <v>210</v>
      </c>
      <c r="J22" s="10" t="s">
        <v>211</v>
      </c>
      <c r="K22" s="10" t="s">
        <v>212</v>
      </c>
      <c r="L22" s="10" t="s">
        <v>87</v>
      </c>
      <c r="M22" s="10" t="s">
        <v>135</v>
      </c>
      <c r="N22" s="10" t="s">
        <v>136</v>
      </c>
      <c r="O22" s="10"/>
    </row>
    <row r="23" customFormat="false" ht="15" hidden="false" customHeight="false" outlineLevel="0" collapsed="false">
      <c r="A23" s="10" t="s">
        <v>212</v>
      </c>
      <c r="B23" s="10" t="s">
        <v>57</v>
      </c>
      <c r="C23" s="10" t="s">
        <v>129</v>
      </c>
      <c r="D23" s="10" t="s">
        <v>59</v>
      </c>
      <c r="E23" s="10" t="s">
        <v>75</v>
      </c>
      <c r="F23" s="10" t="s">
        <v>130</v>
      </c>
      <c r="G23" s="4" t="n">
        <v>43507</v>
      </c>
      <c r="H23" s="10" t="s">
        <v>131</v>
      </c>
      <c r="I23" s="10" t="s">
        <v>213</v>
      </c>
      <c r="J23" s="10" t="s">
        <v>214</v>
      </c>
      <c r="K23" s="10" t="s">
        <v>128</v>
      </c>
      <c r="L23" s="10" t="s">
        <v>90</v>
      </c>
      <c r="M23" s="10" t="s">
        <v>141</v>
      </c>
      <c r="N23" s="10" t="s">
        <v>136</v>
      </c>
      <c r="O23" s="10"/>
    </row>
    <row r="24" customFormat="false" ht="15" hidden="false" customHeight="false" outlineLevel="0" collapsed="false">
      <c r="A24" s="10" t="s">
        <v>178</v>
      </c>
      <c r="B24" s="10" t="s">
        <v>37</v>
      </c>
      <c r="C24" s="10" t="s">
        <v>138</v>
      </c>
      <c r="D24" s="10" t="s">
        <v>39</v>
      </c>
      <c r="E24" s="10" t="s">
        <v>76</v>
      </c>
      <c r="F24" s="10" t="s">
        <v>130</v>
      </c>
      <c r="G24" s="4" t="n">
        <v>43845</v>
      </c>
      <c r="H24" s="10" t="s">
        <v>131</v>
      </c>
      <c r="I24" s="10" t="s">
        <v>215</v>
      </c>
      <c r="J24" s="10" t="s">
        <v>216</v>
      </c>
      <c r="K24" s="10" t="s">
        <v>128</v>
      </c>
      <c r="L24" s="10" t="s">
        <v>90</v>
      </c>
      <c r="M24" s="10" t="s">
        <v>135</v>
      </c>
      <c r="N24" s="10" t="s">
        <v>136</v>
      </c>
      <c r="O24" s="10"/>
    </row>
  </sheetData>
  <mergeCells count="2">
    <mergeCell ref="A1:H1"/>
    <mergeCell ref="A2:H2"/>
  </mergeCells>
  <dataValidations count="3">
    <dataValidation allowBlank="true" errorStyle="stop" operator="between" showDropDown="false" showErrorMessage="false" showInputMessage="false" sqref="N5:N24" type="list">
      <formula1>"Active,On Leave,Resigned,Terminated,Suspended,Inactive"</formula1>
      <formula2>0</formula2>
    </dataValidation>
    <dataValidation allowBlank="true" errorStyle="stop" operator="between" showDropDown="false" showErrorMessage="false" showInputMessage="false" sqref="L5:L24" type="list">
      <formula1>'Shift Master'!$A$5:$A$16</formula1>
      <formula2>0</formula2>
    </dataValidation>
    <dataValidation allowBlank="true" errorStyle="stop" operator="between" showDropDown="false" showErrorMessage="false" showInputMessage="false" sqref="M5:M24" type="list">
      <formula1>"Sun,Mon,Tue,Wed,Thu,Fri,Sat"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18"/>
  </cols>
  <sheetData>
    <row r="1" customFormat="false" ht="19.7" hidden="false" customHeight="false" outlineLevel="0" collapsed="false">
      <c r="A1" s="1" t="s">
        <v>217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218</v>
      </c>
      <c r="B2" s="2"/>
      <c r="C2" s="2"/>
      <c r="D2" s="2"/>
      <c r="E2" s="2"/>
      <c r="F2" s="2"/>
      <c r="G2" s="2"/>
      <c r="H2" s="2"/>
    </row>
    <row r="4" customFormat="false" ht="19.5" hidden="false" customHeight="true" outlineLevel="0" collapsed="false">
      <c r="A4" s="12" t="s">
        <v>117</v>
      </c>
      <c r="B4" s="12" t="s">
        <v>80</v>
      </c>
      <c r="C4" s="12" t="s">
        <v>219</v>
      </c>
    </row>
    <row r="5" customFormat="false" ht="15" hidden="false" customHeight="false" outlineLevel="0" collapsed="false">
      <c r="A5" s="10" t="s">
        <v>41</v>
      </c>
      <c r="B5" s="10" t="s">
        <v>87</v>
      </c>
      <c r="C5" s="10" t="n">
        <v>2</v>
      </c>
    </row>
    <row r="6" customFormat="false" ht="15" hidden="false" customHeight="false" outlineLevel="0" collapsed="false">
      <c r="A6" s="10" t="s">
        <v>41</v>
      </c>
      <c r="B6" s="10" t="s">
        <v>90</v>
      </c>
      <c r="C6" s="10" t="n">
        <v>2</v>
      </c>
    </row>
    <row r="7" customFormat="false" ht="15" hidden="false" customHeight="false" outlineLevel="0" collapsed="false">
      <c r="A7" s="10" t="s">
        <v>41</v>
      </c>
      <c r="B7" s="10" t="s">
        <v>94</v>
      </c>
      <c r="C7" s="10" t="n">
        <v>1</v>
      </c>
    </row>
    <row r="8" customFormat="false" ht="15" hidden="false" customHeight="false" outlineLevel="0" collapsed="false">
      <c r="A8" s="10" t="s">
        <v>46</v>
      </c>
      <c r="B8" s="10" t="s">
        <v>87</v>
      </c>
      <c r="C8" s="10" t="n">
        <v>1</v>
      </c>
    </row>
    <row r="9" customFormat="false" ht="15" hidden="false" customHeight="false" outlineLevel="0" collapsed="false">
      <c r="A9" s="10" t="s">
        <v>46</v>
      </c>
      <c r="B9" s="10" t="s">
        <v>90</v>
      </c>
      <c r="C9" s="10" t="n">
        <v>1</v>
      </c>
    </row>
    <row r="10" customFormat="false" ht="15" hidden="false" customHeight="false" outlineLevel="0" collapsed="false">
      <c r="A10" s="10" t="s">
        <v>56</v>
      </c>
      <c r="B10" s="10" t="s">
        <v>87</v>
      </c>
      <c r="C10" s="10" t="n">
        <v>1</v>
      </c>
    </row>
    <row r="11" customFormat="false" ht="15" hidden="false" customHeight="false" outlineLevel="0" collapsed="false">
      <c r="A11" s="10" t="s">
        <v>52</v>
      </c>
      <c r="B11" s="10" t="s">
        <v>87</v>
      </c>
      <c r="C11" s="10" t="n">
        <v>1</v>
      </c>
    </row>
    <row r="12" customFormat="false" ht="15" hidden="false" customHeight="false" outlineLevel="0" collapsed="false">
      <c r="A12" s="10" t="s">
        <v>43</v>
      </c>
      <c r="B12" s="10" t="s">
        <v>87</v>
      </c>
      <c r="C12" s="10" t="n">
        <v>1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7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10"/>
    <col collapsed="false" customWidth="true" hidden="false" outlineLevel="0" max="9" min="8" style="0" width="9"/>
    <col collapsed="false" customWidth="true" hidden="false" outlineLevel="0" max="10" min="10" style="0" width="10"/>
    <col collapsed="false" customWidth="true" hidden="false" outlineLevel="0" max="11" min="11" style="0" width="8"/>
    <col collapsed="false" customWidth="true" hidden="false" outlineLevel="0" max="12" min="12" style="0" width="20"/>
    <col collapsed="false" customWidth="true" hidden="false" outlineLevel="0" max="13" min="13" style="0" width="16"/>
    <col collapsed="false" customWidth="true" hidden="false" outlineLevel="0" max="14" min="14" style="0" width="12"/>
  </cols>
  <sheetData>
    <row r="1" customFormat="false" ht="19.7" hidden="false" customHeight="false" outlineLevel="0" collapsed="false">
      <c r="A1" s="1" t="s">
        <v>220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221</v>
      </c>
      <c r="B2" s="2"/>
      <c r="C2" s="2"/>
      <c r="D2" s="2"/>
      <c r="E2" s="2"/>
      <c r="F2" s="2"/>
      <c r="G2" s="2"/>
      <c r="H2" s="2"/>
    </row>
    <row r="4" customFormat="false" ht="19.5" hidden="false" customHeight="true" outlineLevel="0" collapsed="false">
      <c r="A4" s="12" t="s">
        <v>222</v>
      </c>
      <c r="B4" s="12" t="s">
        <v>91</v>
      </c>
      <c r="C4" s="12" t="s">
        <v>114</v>
      </c>
      <c r="D4" s="12" t="s">
        <v>223</v>
      </c>
      <c r="E4" s="12" t="s">
        <v>117</v>
      </c>
      <c r="F4" s="12" t="s">
        <v>118</v>
      </c>
      <c r="G4" s="12" t="s">
        <v>80</v>
      </c>
      <c r="H4" s="12" t="s">
        <v>82</v>
      </c>
      <c r="I4" s="12" t="s">
        <v>83</v>
      </c>
      <c r="J4" s="12" t="s">
        <v>84</v>
      </c>
      <c r="K4" s="12" t="s">
        <v>224</v>
      </c>
      <c r="L4" s="12" t="s">
        <v>225</v>
      </c>
      <c r="M4" s="12" t="s">
        <v>226</v>
      </c>
      <c r="N4" s="12" t="s">
        <v>227</v>
      </c>
    </row>
    <row r="5" customFormat="false" ht="15" hidden="false" customHeight="false" outlineLevel="0" collapsed="false">
      <c r="A5" s="15" t="n">
        <v>46296</v>
      </c>
      <c r="B5" s="16" t="str">
        <f aca="false">TEXT(A5,"ddd")</f>
        <v>Thu</v>
      </c>
      <c r="C5" s="10" t="s">
        <v>128</v>
      </c>
      <c r="D5" s="16" t="str">
        <f aca="false">IFERROR(INDEX('Staff Master'!$B$5:$B$24,MATCH(C5,'Staff Master'!$A$5:$A$24,0)),"")</f>
        <v>Rashid Al Nuaimi</v>
      </c>
      <c r="E5" s="16" t="str">
        <f aca="false">IFERROR(INDEX('Staff Master'!$D$5:$D$24,MATCH(C5,'Staff Master'!$A$5:$A$24,0)),"")</f>
        <v>Management</v>
      </c>
      <c r="F5" s="16" t="str">
        <f aca="false">IFERROR(INDEX('Staff Master'!$E$5:$E$24,MATCH(C5,'Staff Master'!$A$5:$A$24,0)),"")</f>
        <v>CEO</v>
      </c>
      <c r="G5" s="10" t="s">
        <v>90</v>
      </c>
      <c r="H5" s="17" t="n">
        <f aca="false">IFERROR(INDEX('Shift Master'!$C$5:$C$16,MATCH(G5,'Shift Master'!$A$5:$A$16,0)),"")</f>
        <v>0.375</v>
      </c>
      <c r="I5" s="17" t="n">
        <f aca="false">IFERROR(INDEX('Shift Master'!$D$5:$D$16,MATCH(G5,'Shift Master'!$A$5:$A$16,0)),"")</f>
        <v>0.75</v>
      </c>
      <c r="J5" s="16" t="n">
        <f aca="false">IFERROR(INDEX('Shift Master'!$E$5:$E$16,MATCH(G5,'Shift Master'!$A$5:$A$16,0)),"")</f>
        <v>60</v>
      </c>
      <c r="K5" s="16" t="n">
        <f aca="false">IFERROR(INDEX('Shift Master'!$G$5:$G$16,MATCH(G5,'Shift Master'!$A$5:$A$16,0)),0)</f>
        <v>8</v>
      </c>
      <c r="L5" s="16" t="s">
        <v>228</v>
      </c>
      <c r="M5" s="16" t="s">
        <v>229</v>
      </c>
      <c r="N5" s="16" t="str">
        <f aca="false">IF(COUNTIFS('Staffing Coverage'!$A$5:$A$12,E5,'Staffing Coverage'!$B$5:$B$12,G5)=0,"",IF(COUNTIFS($A$5:$A$10004,A5,$E$5:$E$10004,E5,$G$5:$G$10004,G5)&lt;INDEX('Staffing Coverage'!$C$5:$C$12,MATCH(1,('Staffing Coverage'!$A$5:$A$12=E5)*('Staffing Coverage'!$B$5:$B$12=G5),0)),"SHORT","OK"))</f>
        <v/>
      </c>
    </row>
    <row r="6" customFormat="false" ht="15" hidden="false" customHeight="false" outlineLevel="0" collapsed="false">
      <c r="A6" s="15" t="n">
        <v>46296</v>
      </c>
      <c r="B6" s="16" t="str">
        <f aca="false">TEXT(A6,"ddd")</f>
        <v>Thu</v>
      </c>
      <c r="C6" s="10" t="s">
        <v>137</v>
      </c>
      <c r="D6" s="16" t="str">
        <f aca="false">IFERROR(INDEX('Staff Master'!$B$5:$B$24,MATCH(C6,'Staff Master'!$A$5:$A$24,0)),"")</f>
        <v>Dr. Sara Haddad</v>
      </c>
      <c r="E6" s="16" t="str">
        <f aca="false">IFERROR(INDEX('Staff Master'!$D$5:$D$24,MATCH(C6,'Staff Master'!$A$5:$A$24,0)),"")</f>
        <v>General Practice</v>
      </c>
      <c r="F6" s="16" t="str">
        <f aca="false">IFERROR(INDEX('Staff Master'!$E$5:$E$24,MATCH(C6,'Staff Master'!$A$5:$A$24,0)),"")</f>
        <v>Medical Director</v>
      </c>
      <c r="G6" s="10" t="s">
        <v>96</v>
      </c>
      <c r="H6" s="17" t="n">
        <f aca="false">IFERROR(INDEX('Shift Master'!$C$5:$C$16,MATCH(G6,'Shift Master'!$A$5:$A$16,0)),"")</f>
        <v>0.375</v>
      </c>
      <c r="I6" s="17" t="n">
        <f aca="false">IFERROR(INDEX('Shift Master'!$D$5:$D$16,MATCH(G6,'Shift Master'!$A$5:$A$16,0)),"")</f>
        <v>0.708333333333333</v>
      </c>
      <c r="J6" s="16" t="n">
        <f aca="false">IFERROR(INDEX('Shift Master'!$E$5:$E$16,MATCH(G6,'Shift Master'!$A$5:$A$16,0)),"")</f>
        <v>60</v>
      </c>
      <c r="K6" s="16" t="n">
        <f aca="false">IFERROR(INDEX('Shift Master'!$G$5:$G$16,MATCH(G6,'Shift Master'!$A$5:$A$16,0)),0)</f>
        <v>7</v>
      </c>
      <c r="L6" s="16" t="s">
        <v>228</v>
      </c>
      <c r="M6" s="16" t="s">
        <v>229</v>
      </c>
      <c r="N6" s="16" t="str">
        <f aca="false">IF(COUNTIFS('Staffing Coverage'!$A$5:$A$12,E6,'Staffing Coverage'!$B$5:$B$12,G6)=0,"",IF(COUNTIFS($A$5:$A$10004,A6,$E$5:$E$10004,E6,$G$5:$G$10004,G6)&lt;INDEX('Staffing Coverage'!$C$5:$C$12,MATCH(1,('Staffing Coverage'!$A$5:$A$12=E6)*('Staffing Coverage'!$B$5:$B$12=G6),0)),"SHORT","OK"))</f>
        <v/>
      </c>
    </row>
    <row r="7" customFormat="false" ht="15" hidden="false" customHeight="false" outlineLevel="0" collapsed="false">
      <c r="A7" s="15" t="n">
        <v>46296</v>
      </c>
      <c r="B7" s="16" t="str">
        <f aca="false">TEXT(A7,"ddd")</f>
        <v>Thu</v>
      </c>
      <c r="C7" s="10" t="s">
        <v>142</v>
      </c>
      <c r="D7" s="16" t="str">
        <f aca="false">IFERROR(INDEX('Staff Master'!$B$5:$B$24,MATCH(C7,'Staff Master'!$A$5:$A$24,0)),"")</f>
        <v>Dr. Omar Khalil</v>
      </c>
      <c r="E7" s="16" t="str">
        <f aca="false">IFERROR(INDEX('Staff Master'!$D$5:$D$24,MATCH(C7,'Staff Master'!$A$5:$A$24,0)),"")</f>
        <v>General Practice</v>
      </c>
      <c r="F7" s="16" t="str">
        <f aca="false">IFERROR(INDEX('Staff Master'!$E$5:$E$24,MATCH(C7,'Staff Master'!$A$5:$A$24,0)),"")</f>
        <v>Doctor</v>
      </c>
      <c r="G7" s="10" t="s">
        <v>96</v>
      </c>
      <c r="H7" s="17" t="n">
        <f aca="false">IFERROR(INDEX('Shift Master'!$C$5:$C$16,MATCH(G7,'Shift Master'!$A$5:$A$16,0)),"")</f>
        <v>0.375</v>
      </c>
      <c r="I7" s="17" t="n">
        <f aca="false">IFERROR(INDEX('Shift Master'!$D$5:$D$16,MATCH(G7,'Shift Master'!$A$5:$A$16,0)),"")</f>
        <v>0.708333333333333</v>
      </c>
      <c r="J7" s="16" t="n">
        <f aca="false">IFERROR(INDEX('Shift Master'!$E$5:$E$16,MATCH(G7,'Shift Master'!$A$5:$A$16,0)),"")</f>
        <v>60</v>
      </c>
      <c r="K7" s="16" t="n">
        <f aca="false">IFERROR(INDEX('Shift Master'!$G$5:$G$16,MATCH(G7,'Shift Master'!$A$5:$A$16,0)),0)</f>
        <v>7</v>
      </c>
      <c r="L7" s="16" t="s">
        <v>228</v>
      </c>
      <c r="M7" s="16" t="s">
        <v>229</v>
      </c>
      <c r="N7" s="16" t="str">
        <f aca="false">IF(COUNTIFS('Staffing Coverage'!$A$5:$A$12,E7,'Staffing Coverage'!$B$5:$B$12,G7)=0,"",IF(COUNTIFS($A$5:$A$10004,A7,$E$5:$E$10004,E7,$G$5:$G$10004,G7)&lt;INDEX('Staffing Coverage'!$C$5:$C$12,MATCH(1,('Staffing Coverage'!$A$5:$A$12=E7)*('Staffing Coverage'!$B$5:$B$12=G7),0)),"SHORT","OK"))</f>
        <v/>
      </c>
    </row>
    <row r="8" customFormat="false" ht="15" hidden="false" customHeight="false" outlineLevel="0" collapsed="false">
      <c r="A8" s="15" t="n">
        <v>46296</v>
      </c>
      <c r="B8" s="16" t="str">
        <f aca="false">TEXT(A8,"ddd")</f>
        <v>Thu</v>
      </c>
      <c r="C8" s="10" t="s">
        <v>146</v>
      </c>
      <c r="D8" s="16" t="str">
        <f aca="false">IFERROR(INDEX('Staff Master'!$B$5:$B$24,MATCH(C8,'Staff Master'!$A$5:$A$24,0)),"")</f>
        <v>Dr. Lina Abboud</v>
      </c>
      <c r="E8" s="16" t="str">
        <f aca="false">IFERROR(INDEX('Staff Master'!$D$5:$D$24,MATCH(C8,'Staff Master'!$A$5:$A$24,0)),"")</f>
        <v>Dental</v>
      </c>
      <c r="F8" s="16" t="str">
        <f aca="false">IFERROR(INDEX('Staff Master'!$E$5:$E$24,MATCH(C8,'Staff Master'!$A$5:$A$24,0)),"")</f>
        <v>Dentist</v>
      </c>
      <c r="G8" s="10" t="s">
        <v>96</v>
      </c>
      <c r="H8" s="17" t="n">
        <f aca="false">IFERROR(INDEX('Shift Master'!$C$5:$C$16,MATCH(G8,'Shift Master'!$A$5:$A$16,0)),"")</f>
        <v>0.375</v>
      </c>
      <c r="I8" s="17" t="n">
        <f aca="false">IFERROR(INDEX('Shift Master'!$D$5:$D$16,MATCH(G8,'Shift Master'!$A$5:$A$16,0)),"")</f>
        <v>0.708333333333333</v>
      </c>
      <c r="J8" s="16" t="n">
        <f aca="false">IFERROR(INDEX('Shift Master'!$E$5:$E$16,MATCH(G8,'Shift Master'!$A$5:$A$16,0)),"")</f>
        <v>60</v>
      </c>
      <c r="K8" s="16" t="n">
        <f aca="false">IFERROR(INDEX('Shift Master'!$G$5:$G$16,MATCH(G8,'Shift Master'!$A$5:$A$16,0)),0)</f>
        <v>7</v>
      </c>
      <c r="L8" s="16" t="s">
        <v>228</v>
      </c>
      <c r="M8" s="16" t="s">
        <v>229</v>
      </c>
      <c r="N8" s="16" t="str">
        <f aca="false">IF(COUNTIFS('Staffing Coverage'!$A$5:$A$12,E8,'Staffing Coverage'!$B$5:$B$12,G8)=0,"",IF(COUNTIFS($A$5:$A$10004,A8,$E$5:$E$10004,E8,$G$5:$G$10004,G8)&lt;INDEX('Staffing Coverage'!$C$5:$C$12,MATCH(1,('Staffing Coverage'!$A$5:$A$12=E8)*('Staffing Coverage'!$B$5:$B$12=G8),0)),"SHORT","OK"))</f>
        <v/>
      </c>
    </row>
    <row r="9" customFormat="false" ht="15" hidden="false" customHeight="false" outlineLevel="0" collapsed="false">
      <c r="A9" s="15" t="n">
        <v>46296</v>
      </c>
      <c r="B9" s="16" t="str">
        <f aca="false">TEXT(A9,"ddd")</f>
        <v>Thu</v>
      </c>
      <c r="C9" s="10" t="s">
        <v>150</v>
      </c>
      <c r="D9" s="16" t="str">
        <f aca="false">IFERROR(INDEX('Staff Master'!$B$5:$B$24,MATCH(C9,'Staff Master'!$A$5:$A$24,0)),"")</f>
        <v>Dr. Farah Idris</v>
      </c>
      <c r="E9" s="16" t="str">
        <f aca="false">IFERROR(INDEX('Staff Master'!$D$5:$D$24,MATCH(C9,'Staff Master'!$A$5:$A$24,0)),"")</f>
        <v>Dental</v>
      </c>
      <c r="F9" s="16" t="str">
        <f aca="false">IFERROR(INDEX('Staff Master'!$E$5:$E$24,MATCH(C9,'Staff Master'!$A$5:$A$24,0)),"")</f>
        <v>Dentist</v>
      </c>
      <c r="G9" s="10" t="s">
        <v>96</v>
      </c>
      <c r="H9" s="17" t="n">
        <f aca="false">IFERROR(INDEX('Shift Master'!$C$5:$C$16,MATCH(G9,'Shift Master'!$A$5:$A$16,0)),"")</f>
        <v>0.375</v>
      </c>
      <c r="I9" s="17" t="n">
        <f aca="false">IFERROR(INDEX('Shift Master'!$D$5:$D$16,MATCH(G9,'Shift Master'!$A$5:$A$16,0)),"")</f>
        <v>0.708333333333333</v>
      </c>
      <c r="J9" s="16" t="n">
        <f aca="false">IFERROR(INDEX('Shift Master'!$E$5:$E$16,MATCH(G9,'Shift Master'!$A$5:$A$16,0)),"")</f>
        <v>60</v>
      </c>
      <c r="K9" s="16" t="n">
        <f aca="false">IFERROR(INDEX('Shift Master'!$G$5:$G$16,MATCH(G9,'Shift Master'!$A$5:$A$16,0)),0)</f>
        <v>7</v>
      </c>
      <c r="L9" s="16" t="s">
        <v>228</v>
      </c>
      <c r="M9" s="16" t="s">
        <v>229</v>
      </c>
      <c r="N9" s="16" t="str">
        <f aca="false">IF(COUNTIFS('Staffing Coverage'!$A$5:$A$12,E9,'Staffing Coverage'!$B$5:$B$12,G9)=0,"",IF(COUNTIFS($A$5:$A$10004,A9,$E$5:$E$10004,E9,$G$5:$G$10004,G9)&lt;INDEX('Staffing Coverage'!$C$5:$C$12,MATCH(1,('Staffing Coverage'!$A$5:$A$12=E9)*('Staffing Coverage'!$B$5:$B$12=G9),0)),"SHORT","OK"))</f>
        <v/>
      </c>
    </row>
    <row r="10" customFormat="false" ht="15" hidden="false" customHeight="false" outlineLevel="0" collapsed="false">
      <c r="A10" s="15" t="n">
        <v>46296</v>
      </c>
      <c r="B10" s="16" t="str">
        <f aca="false">TEXT(A10,"ddd")</f>
        <v>Thu</v>
      </c>
      <c r="C10" s="10" t="s">
        <v>157</v>
      </c>
      <c r="D10" s="16" t="str">
        <f aca="false">IFERROR(INDEX('Staff Master'!$B$5:$B$24,MATCH(C10,'Staff Master'!$A$5:$A$24,0)),"")</f>
        <v>Dr. Youssef Nassar</v>
      </c>
      <c r="E10" s="16" t="str">
        <f aca="false">IFERROR(INDEX('Staff Master'!$D$5:$D$24,MATCH(C10,'Staff Master'!$A$5:$A$24,0)),"")</f>
        <v>General Practice</v>
      </c>
      <c r="F10" s="16" t="str">
        <f aca="false">IFERROR(INDEX('Staff Master'!$E$5:$E$24,MATCH(C10,'Staff Master'!$A$5:$A$24,0)),"")</f>
        <v>General Practitioner</v>
      </c>
      <c r="G10" s="10" t="s">
        <v>96</v>
      </c>
      <c r="H10" s="17" t="n">
        <f aca="false">IFERROR(INDEX('Shift Master'!$C$5:$C$16,MATCH(G10,'Shift Master'!$A$5:$A$16,0)),"")</f>
        <v>0.375</v>
      </c>
      <c r="I10" s="17" t="n">
        <f aca="false">IFERROR(INDEX('Shift Master'!$D$5:$D$16,MATCH(G10,'Shift Master'!$A$5:$A$16,0)),"")</f>
        <v>0.708333333333333</v>
      </c>
      <c r="J10" s="16" t="n">
        <f aca="false">IFERROR(INDEX('Shift Master'!$E$5:$E$16,MATCH(G10,'Shift Master'!$A$5:$A$16,0)),"")</f>
        <v>60</v>
      </c>
      <c r="K10" s="16" t="n">
        <f aca="false">IFERROR(INDEX('Shift Master'!$G$5:$G$16,MATCH(G10,'Shift Master'!$A$5:$A$16,0)),0)</f>
        <v>7</v>
      </c>
      <c r="L10" s="16" t="s">
        <v>228</v>
      </c>
      <c r="M10" s="16" t="s">
        <v>229</v>
      </c>
      <c r="N10" s="16" t="str">
        <f aca="false">IF(COUNTIFS('Staffing Coverage'!$A$5:$A$12,E10,'Staffing Coverage'!$B$5:$B$12,G10)=0,"",IF(COUNTIFS($A$5:$A$10004,A10,$E$5:$E$10004,E10,$G$5:$G$10004,G10)&lt;INDEX('Staffing Coverage'!$C$5:$C$12,MATCH(1,('Staffing Coverage'!$A$5:$A$12=E10)*('Staffing Coverage'!$B$5:$B$12=G10),0)),"SHORT","OK"))</f>
        <v/>
      </c>
    </row>
    <row r="11" customFormat="false" ht="15" hidden="false" customHeight="false" outlineLevel="0" collapsed="false">
      <c r="A11" s="15" t="n">
        <v>46296</v>
      </c>
      <c r="B11" s="16" t="str">
        <f aca="false">TEXT(A11,"ddd")</f>
        <v>Thu</v>
      </c>
      <c r="C11" s="10" t="s">
        <v>161</v>
      </c>
      <c r="D11" s="16" t="str">
        <f aca="false">IFERROR(INDEX('Staff Master'!$B$5:$B$24,MATCH(C11,'Staff Master'!$A$5:$A$24,0)),"")</f>
        <v>Grace Fernandez</v>
      </c>
      <c r="E11" s="16" t="str">
        <f aca="false">IFERROR(INDEX('Staff Master'!$D$5:$D$24,MATCH(C11,'Staff Master'!$A$5:$A$24,0)),"")</f>
        <v>Nursing</v>
      </c>
      <c r="F11" s="16" t="str">
        <f aca="false">IFERROR(INDEX('Staff Master'!$E$5:$E$24,MATCH(C11,'Staff Master'!$A$5:$A$24,0)),"")</f>
        <v>Nurse</v>
      </c>
      <c r="G11" s="10" t="s">
        <v>87</v>
      </c>
      <c r="H11" s="17" t="n">
        <f aca="false">IFERROR(INDEX('Shift Master'!$C$5:$C$16,MATCH(G11,'Shift Master'!$A$5:$A$16,0)),"")</f>
        <v>0.333333333333333</v>
      </c>
      <c r="I11" s="17" t="n">
        <f aca="false">IFERROR(INDEX('Shift Master'!$D$5:$D$16,MATCH(G11,'Shift Master'!$A$5:$A$16,0)),"")</f>
        <v>0.708333333333333</v>
      </c>
      <c r="J11" s="16" t="n">
        <f aca="false">IFERROR(INDEX('Shift Master'!$E$5:$E$16,MATCH(G11,'Shift Master'!$A$5:$A$16,0)),"")</f>
        <v>60</v>
      </c>
      <c r="K11" s="16" t="n">
        <f aca="false">IFERROR(INDEX('Shift Master'!$G$5:$G$16,MATCH(G11,'Shift Master'!$A$5:$A$16,0)),0)</f>
        <v>8</v>
      </c>
      <c r="L11" s="16" t="s">
        <v>228</v>
      </c>
      <c r="M11" s="16" t="s">
        <v>229</v>
      </c>
      <c r="N11" s="16" t="str">
        <f aca="false">IF(COUNTIFS('Staffing Coverage'!$A$5:$A$12,E11,'Staffing Coverage'!$B$5:$B$12,G11)=0,"",IF(COUNTIFS($A$5:$A$10004,A11,$E$5:$E$10004,E11,$G$5:$G$10004,G11)&lt;INDEX('Staffing Coverage'!$C$5:$C$12,MATCH(1,('Staffing Coverage'!$A$5:$A$12=E11)*('Staffing Coverage'!$B$5:$B$12=G11),0)),"SHORT","OK"))</f>
        <v>OK</v>
      </c>
    </row>
    <row r="12" customFormat="false" ht="15" hidden="false" customHeight="false" outlineLevel="0" collapsed="false">
      <c r="A12" s="15" t="n">
        <v>46296</v>
      </c>
      <c r="B12" s="16" t="str">
        <f aca="false">TEXT(A12,"ddd")</f>
        <v>Thu</v>
      </c>
      <c r="C12" s="10" t="s">
        <v>165</v>
      </c>
      <c r="D12" s="16" t="str">
        <f aca="false">IFERROR(INDEX('Staff Master'!$B$5:$B$24,MATCH(C12,'Staff Master'!$A$5:$A$24,0)),"")</f>
        <v>Priya Nair</v>
      </c>
      <c r="E12" s="16" t="str">
        <f aca="false">IFERROR(INDEX('Staff Master'!$D$5:$D$24,MATCH(C12,'Staff Master'!$A$5:$A$24,0)),"")</f>
        <v>Nursing</v>
      </c>
      <c r="F12" s="16" t="str">
        <f aca="false">IFERROR(INDEX('Staff Master'!$E$5:$E$24,MATCH(C12,'Staff Master'!$A$5:$A$24,0)),"")</f>
        <v>Nurse</v>
      </c>
      <c r="G12" s="10" t="s">
        <v>90</v>
      </c>
      <c r="H12" s="17" t="n">
        <f aca="false">IFERROR(INDEX('Shift Master'!$C$5:$C$16,MATCH(G12,'Shift Master'!$A$5:$A$16,0)),"")</f>
        <v>0.375</v>
      </c>
      <c r="I12" s="17" t="n">
        <f aca="false">IFERROR(INDEX('Shift Master'!$D$5:$D$16,MATCH(G12,'Shift Master'!$A$5:$A$16,0)),"")</f>
        <v>0.75</v>
      </c>
      <c r="J12" s="16" t="n">
        <f aca="false">IFERROR(INDEX('Shift Master'!$E$5:$E$16,MATCH(G12,'Shift Master'!$A$5:$A$16,0)),"")</f>
        <v>60</v>
      </c>
      <c r="K12" s="16" t="n">
        <f aca="false">IFERROR(INDEX('Shift Master'!$G$5:$G$16,MATCH(G12,'Shift Master'!$A$5:$A$16,0)),0)</f>
        <v>8</v>
      </c>
      <c r="L12" s="16" t="s">
        <v>228</v>
      </c>
      <c r="M12" s="16" t="s">
        <v>229</v>
      </c>
      <c r="N12" s="16" t="str">
        <f aca="false">IF(COUNTIFS('Staffing Coverage'!$A$5:$A$12,E12,'Staffing Coverage'!$B$5:$B$12,G12)=0,"",IF(COUNTIFS($A$5:$A$10004,A12,$E$5:$E$10004,E12,$G$5:$G$10004,G12)&lt;INDEX('Staffing Coverage'!$C$5:$C$12,MATCH(1,('Staffing Coverage'!$A$5:$A$12=E12)*('Staffing Coverage'!$B$5:$B$12=G12),0)),"SHORT","OK"))</f>
        <v>OK</v>
      </c>
    </row>
    <row r="13" customFormat="false" ht="15" hidden="false" customHeight="false" outlineLevel="0" collapsed="false">
      <c r="A13" s="15" t="n">
        <v>46296</v>
      </c>
      <c r="B13" s="16" t="str">
        <f aca="false">TEXT(A13,"ddd")</f>
        <v>Thu</v>
      </c>
      <c r="C13" s="10" t="s">
        <v>170</v>
      </c>
      <c r="D13" s="16" t="str">
        <f aca="false">IFERROR(INDEX('Staff Master'!$B$5:$B$24,MATCH(C13,'Staff Master'!$A$5:$A$24,0)),"")</f>
        <v>Maria Santos</v>
      </c>
      <c r="E13" s="16" t="str">
        <f aca="false">IFERROR(INDEX('Staff Master'!$D$5:$D$24,MATCH(C13,'Staff Master'!$A$5:$A$24,0)),"")</f>
        <v>Nursing</v>
      </c>
      <c r="F13" s="16" t="str">
        <f aca="false">IFERROR(INDEX('Staff Master'!$E$5:$E$24,MATCH(C13,'Staff Master'!$A$5:$A$24,0)),"")</f>
        <v>Nurse</v>
      </c>
      <c r="G13" s="10" t="s">
        <v>94</v>
      </c>
      <c r="H13" s="17" t="n">
        <f aca="false">IFERROR(INDEX('Shift Master'!$C$5:$C$16,MATCH(G13,'Shift Master'!$A$5:$A$16,0)),"")</f>
        <v>0.541666666666667</v>
      </c>
      <c r="I13" s="17" t="n">
        <f aca="false">IFERROR(INDEX('Shift Master'!$D$5:$D$16,MATCH(G13,'Shift Master'!$A$5:$A$16,0)),"")</f>
        <v>0.916666666666667</v>
      </c>
      <c r="J13" s="16" t="n">
        <f aca="false">IFERROR(INDEX('Shift Master'!$E$5:$E$16,MATCH(G13,'Shift Master'!$A$5:$A$16,0)),"")</f>
        <v>60</v>
      </c>
      <c r="K13" s="16" t="n">
        <f aca="false">IFERROR(INDEX('Shift Master'!$G$5:$G$16,MATCH(G13,'Shift Master'!$A$5:$A$16,0)),0)</f>
        <v>8</v>
      </c>
      <c r="L13" s="16" t="s">
        <v>228</v>
      </c>
      <c r="M13" s="16" t="s">
        <v>229</v>
      </c>
      <c r="N13" s="16" t="str">
        <f aca="false">IF(COUNTIFS('Staffing Coverage'!$A$5:$A$12,E13,'Staffing Coverage'!$B$5:$B$12,G13)=0,"",IF(COUNTIFS($A$5:$A$10004,A13,$E$5:$E$10004,E13,$G$5:$G$10004,G13)&lt;INDEX('Staffing Coverage'!$C$5:$C$12,MATCH(1,('Staffing Coverage'!$A$5:$A$12=E13)*('Staffing Coverage'!$B$5:$B$12=G13),0)),"SHORT","OK"))</f>
        <v/>
      </c>
    </row>
    <row r="14" customFormat="false" ht="15" hidden="false" customHeight="false" outlineLevel="0" collapsed="false">
      <c r="A14" s="15" t="n">
        <v>46296</v>
      </c>
      <c r="B14" s="16" t="str">
        <f aca="false">TEXT(A14,"ddd")</f>
        <v>Thu</v>
      </c>
      <c r="C14" s="10" t="s">
        <v>174</v>
      </c>
      <c r="D14" s="16" t="str">
        <f aca="false">IFERROR(INDEX('Staff Master'!$B$5:$B$24,MATCH(C14,'Staff Master'!$A$5:$A$24,0)),"")</f>
        <v>Aisha Al Shamsi</v>
      </c>
      <c r="E14" s="16" t="str">
        <f aca="false">IFERROR(INDEX('Staff Master'!$D$5:$D$24,MATCH(C14,'Staff Master'!$A$5:$A$24,0)),"")</f>
        <v>Reception</v>
      </c>
      <c r="F14" s="16" t="str">
        <f aca="false">IFERROR(INDEX('Staff Master'!$E$5:$E$24,MATCH(C14,'Staff Master'!$A$5:$A$24,0)),"")</f>
        <v>Receptionist</v>
      </c>
      <c r="G14" s="10" t="s">
        <v>87</v>
      </c>
      <c r="H14" s="17" t="n">
        <f aca="false">IFERROR(INDEX('Shift Master'!$C$5:$C$16,MATCH(G14,'Shift Master'!$A$5:$A$16,0)),"")</f>
        <v>0.333333333333333</v>
      </c>
      <c r="I14" s="17" t="n">
        <f aca="false">IFERROR(INDEX('Shift Master'!$D$5:$D$16,MATCH(G14,'Shift Master'!$A$5:$A$16,0)),"")</f>
        <v>0.708333333333333</v>
      </c>
      <c r="J14" s="16" t="n">
        <f aca="false">IFERROR(INDEX('Shift Master'!$E$5:$E$16,MATCH(G14,'Shift Master'!$A$5:$A$16,0)),"")</f>
        <v>60</v>
      </c>
      <c r="K14" s="16" t="n">
        <f aca="false">IFERROR(INDEX('Shift Master'!$G$5:$G$16,MATCH(G14,'Shift Master'!$A$5:$A$16,0)),0)</f>
        <v>8</v>
      </c>
      <c r="L14" s="16" t="s">
        <v>228</v>
      </c>
      <c r="M14" s="16" t="s">
        <v>229</v>
      </c>
      <c r="N14" s="16" t="str">
        <f aca="false">IF(COUNTIFS('Staffing Coverage'!$A$5:$A$12,E14,'Staffing Coverage'!$B$5:$B$12,G14)=0,"",IF(COUNTIFS($A$5:$A$10004,A14,$E$5:$E$10004,E14,$G$5:$G$10004,G14)&lt;INDEX('Staffing Coverage'!$C$5:$C$12,MATCH(1,('Staffing Coverage'!$A$5:$A$12=E14)*('Staffing Coverage'!$B$5:$B$12=G14),0)),"SHORT","OK"))</f>
        <v>SHORT</v>
      </c>
    </row>
    <row r="15" customFormat="false" ht="15" hidden="false" customHeight="false" outlineLevel="0" collapsed="false">
      <c r="A15" s="15" t="n">
        <v>46296</v>
      </c>
      <c r="B15" s="16" t="str">
        <f aca="false">TEXT(A15,"ddd")</f>
        <v>Thu</v>
      </c>
      <c r="C15" s="10" t="s">
        <v>179</v>
      </c>
      <c r="D15" s="16" t="str">
        <f aca="false">IFERROR(INDEX('Staff Master'!$B$5:$B$24,MATCH(C15,'Staff Master'!$A$5:$A$24,0)),"")</f>
        <v>John Dsouza</v>
      </c>
      <c r="E15" s="16" t="str">
        <f aca="false">IFERROR(INDEX('Staff Master'!$D$5:$D$24,MATCH(C15,'Staff Master'!$A$5:$A$24,0)),"")</f>
        <v>Reception</v>
      </c>
      <c r="F15" s="16" t="str">
        <f aca="false">IFERROR(INDEX('Staff Master'!$E$5:$E$24,MATCH(C15,'Staff Master'!$A$5:$A$24,0)),"")</f>
        <v>Receptionist</v>
      </c>
      <c r="G15" s="10" t="s">
        <v>90</v>
      </c>
      <c r="H15" s="17" t="n">
        <f aca="false">IFERROR(INDEX('Shift Master'!$C$5:$C$16,MATCH(G15,'Shift Master'!$A$5:$A$16,0)),"")</f>
        <v>0.375</v>
      </c>
      <c r="I15" s="17" t="n">
        <f aca="false">IFERROR(INDEX('Shift Master'!$D$5:$D$16,MATCH(G15,'Shift Master'!$A$5:$A$16,0)),"")</f>
        <v>0.75</v>
      </c>
      <c r="J15" s="16" t="n">
        <f aca="false">IFERROR(INDEX('Shift Master'!$E$5:$E$16,MATCH(G15,'Shift Master'!$A$5:$A$16,0)),"")</f>
        <v>60</v>
      </c>
      <c r="K15" s="16" t="n">
        <f aca="false">IFERROR(INDEX('Shift Master'!$G$5:$G$16,MATCH(G15,'Shift Master'!$A$5:$A$16,0)),0)</f>
        <v>8</v>
      </c>
      <c r="L15" s="16" t="s">
        <v>228</v>
      </c>
      <c r="M15" s="16" t="s">
        <v>229</v>
      </c>
      <c r="N15" s="16" t="str">
        <f aca="false">IF(COUNTIFS('Staffing Coverage'!$A$5:$A$12,E15,'Staffing Coverage'!$B$5:$B$12,G15)=0,"",IF(COUNTIFS($A$5:$A$10004,A15,$E$5:$E$10004,E15,$G$5:$G$10004,G15)&lt;INDEX('Staffing Coverage'!$C$5:$C$12,MATCH(1,('Staffing Coverage'!$A$5:$A$12=E15)*('Staffing Coverage'!$B$5:$B$12=G15),0)),"SHORT","OK"))</f>
        <v>SHORT</v>
      </c>
    </row>
    <row r="16" customFormat="false" ht="15" hidden="false" customHeight="false" outlineLevel="0" collapsed="false">
      <c r="A16" s="15" t="n">
        <v>46296</v>
      </c>
      <c r="B16" s="16" t="str">
        <f aca="false">TEXT(A16,"ddd")</f>
        <v>Thu</v>
      </c>
      <c r="C16" s="10" t="s">
        <v>184</v>
      </c>
      <c r="D16" s="16" t="str">
        <f aca="false">IFERROR(INDEX('Staff Master'!$B$5:$B$24,MATCH(C16,'Staff Master'!$A$5:$A$24,0)),"")</f>
        <v>Fatima Zahra</v>
      </c>
      <c r="E16" s="16" t="str">
        <f aca="false">IFERROR(INDEX('Staff Master'!$D$5:$D$24,MATCH(C16,'Staff Master'!$A$5:$A$24,0)),"")</f>
        <v>Reception</v>
      </c>
      <c r="F16" s="16" t="str">
        <f aca="false">IFERROR(INDEX('Staff Master'!$E$5:$E$24,MATCH(C16,'Staff Master'!$A$5:$A$24,0)),"")</f>
        <v>Receptionist</v>
      </c>
      <c r="G16" s="10" t="s">
        <v>94</v>
      </c>
      <c r="H16" s="17" t="n">
        <f aca="false">IFERROR(INDEX('Shift Master'!$C$5:$C$16,MATCH(G16,'Shift Master'!$A$5:$A$16,0)),"")</f>
        <v>0.541666666666667</v>
      </c>
      <c r="I16" s="17" t="n">
        <f aca="false">IFERROR(INDEX('Shift Master'!$D$5:$D$16,MATCH(G16,'Shift Master'!$A$5:$A$16,0)),"")</f>
        <v>0.916666666666667</v>
      </c>
      <c r="J16" s="16" t="n">
        <f aca="false">IFERROR(INDEX('Shift Master'!$E$5:$E$16,MATCH(G16,'Shift Master'!$A$5:$A$16,0)),"")</f>
        <v>60</v>
      </c>
      <c r="K16" s="16" t="n">
        <f aca="false">IFERROR(INDEX('Shift Master'!$G$5:$G$16,MATCH(G16,'Shift Master'!$A$5:$A$16,0)),0)</f>
        <v>8</v>
      </c>
      <c r="L16" s="16" t="s">
        <v>228</v>
      </c>
      <c r="M16" s="16" t="s">
        <v>229</v>
      </c>
      <c r="N16" s="16" t="str">
        <f aca="false">IF(COUNTIFS('Staffing Coverage'!$A$5:$A$12,E16,'Staffing Coverage'!$B$5:$B$12,G16)=0,"",IF(COUNTIFS($A$5:$A$10004,A16,$E$5:$E$10004,E16,$G$5:$G$10004,G16)&lt;INDEX('Staffing Coverage'!$C$5:$C$12,MATCH(1,('Staffing Coverage'!$A$5:$A$12=E16)*('Staffing Coverage'!$B$5:$B$12=G16),0)),"SHORT","OK"))</f>
        <v>OK</v>
      </c>
    </row>
    <row r="17" customFormat="false" ht="15" hidden="false" customHeight="false" outlineLevel="0" collapsed="false">
      <c r="A17" s="15" t="n">
        <v>46296</v>
      </c>
      <c r="B17" s="16" t="str">
        <f aca="false">TEXT(A17,"ddd")</f>
        <v>Thu</v>
      </c>
      <c r="C17" s="10" t="s">
        <v>188</v>
      </c>
      <c r="D17" s="16" t="str">
        <f aca="false">IFERROR(INDEX('Staff Master'!$B$5:$B$24,MATCH(C17,'Staff Master'!$A$5:$A$24,0)),"")</f>
        <v>Ana Reyes</v>
      </c>
      <c r="E17" s="16" t="str">
        <f aca="false">IFERROR(INDEX('Staff Master'!$D$5:$D$24,MATCH(C17,'Staff Master'!$A$5:$A$24,0)),"")</f>
        <v>Dental</v>
      </c>
      <c r="F17" s="16" t="str">
        <f aca="false">IFERROR(INDEX('Staff Master'!$E$5:$E$24,MATCH(C17,'Staff Master'!$A$5:$A$24,0)),"")</f>
        <v>Dental Assistant</v>
      </c>
      <c r="G17" s="10" t="s">
        <v>87</v>
      </c>
      <c r="H17" s="17" t="n">
        <f aca="false">IFERROR(INDEX('Shift Master'!$C$5:$C$16,MATCH(G17,'Shift Master'!$A$5:$A$16,0)),"")</f>
        <v>0.333333333333333</v>
      </c>
      <c r="I17" s="17" t="n">
        <f aca="false">IFERROR(INDEX('Shift Master'!$D$5:$D$16,MATCH(G17,'Shift Master'!$A$5:$A$16,0)),"")</f>
        <v>0.708333333333333</v>
      </c>
      <c r="J17" s="16" t="n">
        <f aca="false">IFERROR(INDEX('Shift Master'!$E$5:$E$16,MATCH(G17,'Shift Master'!$A$5:$A$16,0)),"")</f>
        <v>60</v>
      </c>
      <c r="K17" s="16" t="n">
        <f aca="false">IFERROR(INDEX('Shift Master'!$G$5:$G$16,MATCH(G17,'Shift Master'!$A$5:$A$16,0)),0)</f>
        <v>8</v>
      </c>
      <c r="L17" s="16" t="s">
        <v>228</v>
      </c>
      <c r="M17" s="16" t="s">
        <v>229</v>
      </c>
      <c r="N17" s="16" t="str">
        <f aca="false">IF(COUNTIFS('Staffing Coverage'!$A$5:$A$12,E17,'Staffing Coverage'!$B$5:$B$12,G17)=0,"",IF(COUNTIFS($A$5:$A$10004,A17,$E$5:$E$10004,E17,$G$5:$G$10004,G17)&lt;INDEX('Staffing Coverage'!$C$5:$C$12,MATCH(1,('Staffing Coverage'!$A$5:$A$12=E17)*('Staffing Coverage'!$B$5:$B$12=G17),0)),"SHORT","OK"))</f>
        <v>OK</v>
      </c>
    </row>
    <row r="18" customFormat="false" ht="15" hidden="false" customHeight="false" outlineLevel="0" collapsed="false">
      <c r="A18" s="15" t="n">
        <v>46296</v>
      </c>
      <c r="B18" s="16" t="str">
        <f aca="false">TEXT(A18,"ddd")</f>
        <v>Thu</v>
      </c>
      <c r="C18" s="10" t="s">
        <v>192</v>
      </c>
      <c r="D18" s="16" t="str">
        <f aca="false">IFERROR(INDEX('Staff Master'!$B$5:$B$24,MATCH(C18,'Staff Master'!$A$5:$A$24,0)),"")</f>
        <v>Noor Hassan</v>
      </c>
      <c r="E18" s="16" t="str">
        <f aca="false">IFERROR(INDEX('Staff Master'!$D$5:$D$24,MATCH(C18,'Staff Master'!$A$5:$A$24,0)),"")</f>
        <v>Dental</v>
      </c>
      <c r="F18" s="16" t="str">
        <f aca="false">IFERROR(INDEX('Staff Master'!$E$5:$E$24,MATCH(C18,'Staff Master'!$A$5:$A$24,0)),"")</f>
        <v>Dental Assistant</v>
      </c>
      <c r="G18" s="10" t="s">
        <v>90</v>
      </c>
      <c r="H18" s="17" t="n">
        <f aca="false">IFERROR(INDEX('Shift Master'!$C$5:$C$16,MATCH(G18,'Shift Master'!$A$5:$A$16,0)),"")</f>
        <v>0.375</v>
      </c>
      <c r="I18" s="17" t="n">
        <f aca="false">IFERROR(INDEX('Shift Master'!$D$5:$D$16,MATCH(G18,'Shift Master'!$A$5:$A$16,0)),"")</f>
        <v>0.75</v>
      </c>
      <c r="J18" s="16" t="n">
        <f aca="false">IFERROR(INDEX('Shift Master'!$E$5:$E$16,MATCH(G18,'Shift Master'!$A$5:$A$16,0)),"")</f>
        <v>60</v>
      </c>
      <c r="K18" s="16" t="n">
        <f aca="false">IFERROR(INDEX('Shift Master'!$G$5:$G$16,MATCH(G18,'Shift Master'!$A$5:$A$16,0)),0)</f>
        <v>8</v>
      </c>
      <c r="L18" s="16" t="s">
        <v>228</v>
      </c>
      <c r="M18" s="16" t="s">
        <v>229</v>
      </c>
      <c r="N18" s="16" t="str">
        <f aca="false">IF(COUNTIFS('Staffing Coverage'!$A$5:$A$12,E18,'Staffing Coverage'!$B$5:$B$12,G18)=0,"",IF(COUNTIFS($A$5:$A$10004,A18,$E$5:$E$10004,E18,$G$5:$G$10004,G18)&lt;INDEX('Staffing Coverage'!$C$5:$C$12,MATCH(1,('Staffing Coverage'!$A$5:$A$12=E18)*('Staffing Coverage'!$B$5:$B$12=G18),0)),"SHORT","OK"))</f>
        <v/>
      </c>
    </row>
    <row r="19" customFormat="false" ht="15" hidden="false" customHeight="false" outlineLevel="0" collapsed="false">
      <c r="A19" s="15" t="n">
        <v>46296</v>
      </c>
      <c r="B19" s="16" t="str">
        <f aca="false">TEXT(A19,"ddd")</f>
        <v>Thu</v>
      </c>
      <c r="C19" s="10" t="s">
        <v>196</v>
      </c>
      <c r="D19" s="16" t="str">
        <f aca="false">IFERROR(INDEX('Staff Master'!$B$5:$B$24,MATCH(C19,'Staff Master'!$A$5:$A$24,0)),"")</f>
        <v>Karan Mehta</v>
      </c>
      <c r="E19" s="16" t="str">
        <f aca="false">IFERROR(INDEX('Staff Master'!$D$5:$D$24,MATCH(C19,'Staff Master'!$A$5:$A$24,0)),"")</f>
        <v>Laser</v>
      </c>
      <c r="F19" s="16" t="str">
        <f aca="false">IFERROR(INDEX('Staff Master'!$E$5:$E$24,MATCH(C19,'Staff Master'!$A$5:$A$24,0)),"")</f>
        <v>Laser Technician</v>
      </c>
      <c r="G19" s="10" t="s">
        <v>90</v>
      </c>
      <c r="H19" s="17" t="n">
        <f aca="false">IFERROR(INDEX('Shift Master'!$C$5:$C$16,MATCH(G19,'Shift Master'!$A$5:$A$16,0)),"")</f>
        <v>0.375</v>
      </c>
      <c r="I19" s="17" t="n">
        <f aca="false">IFERROR(INDEX('Shift Master'!$D$5:$D$16,MATCH(G19,'Shift Master'!$A$5:$A$16,0)),"")</f>
        <v>0.75</v>
      </c>
      <c r="J19" s="16" t="n">
        <f aca="false">IFERROR(INDEX('Shift Master'!$E$5:$E$16,MATCH(G19,'Shift Master'!$A$5:$A$16,0)),"")</f>
        <v>60</v>
      </c>
      <c r="K19" s="16" t="n">
        <f aca="false">IFERROR(INDEX('Shift Master'!$G$5:$G$16,MATCH(G19,'Shift Master'!$A$5:$A$16,0)),0)</f>
        <v>8</v>
      </c>
      <c r="L19" s="16" t="s">
        <v>228</v>
      </c>
      <c r="M19" s="16" t="s">
        <v>229</v>
      </c>
      <c r="N19" s="16" t="str">
        <f aca="false">IF(COUNTIFS('Staffing Coverage'!$A$5:$A$12,E19,'Staffing Coverage'!$B$5:$B$12,G19)=0,"",IF(COUNTIFS($A$5:$A$10004,A19,$E$5:$E$10004,E19,$G$5:$G$10004,G19)&lt;INDEX('Staffing Coverage'!$C$5:$C$12,MATCH(1,('Staffing Coverage'!$A$5:$A$12=E19)*('Staffing Coverage'!$B$5:$B$12=G19),0)),"SHORT","OK"))</f>
        <v/>
      </c>
    </row>
    <row r="20" customFormat="false" ht="15" hidden="false" customHeight="false" outlineLevel="0" collapsed="false">
      <c r="A20" s="15" t="n">
        <v>46296</v>
      </c>
      <c r="B20" s="16" t="str">
        <f aca="false">TEXT(A20,"ddd")</f>
        <v>Thu</v>
      </c>
      <c r="C20" s="10" t="s">
        <v>200</v>
      </c>
      <c r="D20" s="16" t="str">
        <f aca="false">IFERROR(INDEX('Staff Master'!$B$5:$B$24,MATCH(C20,'Staff Master'!$A$5:$A$24,0)),"")</f>
        <v>Imran Sheikh</v>
      </c>
      <c r="E20" s="16" t="str">
        <f aca="false">IFERROR(INDEX('Staff Master'!$D$5:$D$24,MATCH(C20,'Staff Master'!$A$5:$A$24,0)),"")</f>
        <v>Dental Laboratory</v>
      </c>
      <c r="F20" s="16" t="str">
        <f aca="false">IFERROR(INDEX('Staff Master'!$E$5:$E$24,MATCH(C20,'Staff Master'!$A$5:$A$24,0)),"")</f>
        <v>Dental Technician</v>
      </c>
      <c r="G20" s="10" t="s">
        <v>87</v>
      </c>
      <c r="H20" s="17" t="n">
        <f aca="false">IFERROR(INDEX('Shift Master'!$C$5:$C$16,MATCH(G20,'Shift Master'!$A$5:$A$16,0)),"")</f>
        <v>0.333333333333333</v>
      </c>
      <c r="I20" s="17" t="n">
        <f aca="false">IFERROR(INDEX('Shift Master'!$D$5:$D$16,MATCH(G20,'Shift Master'!$A$5:$A$16,0)),"")</f>
        <v>0.708333333333333</v>
      </c>
      <c r="J20" s="16" t="n">
        <f aca="false">IFERROR(INDEX('Shift Master'!$E$5:$E$16,MATCH(G20,'Shift Master'!$A$5:$A$16,0)),"")</f>
        <v>60</v>
      </c>
      <c r="K20" s="16" t="n">
        <f aca="false">IFERROR(INDEX('Shift Master'!$G$5:$G$16,MATCH(G20,'Shift Master'!$A$5:$A$16,0)),0)</f>
        <v>8</v>
      </c>
      <c r="L20" s="16" t="s">
        <v>228</v>
      </c>
      <c r="M20" s="16" t="s">
        <v>229</v>
      </c>
      <c r="N20" s="16" t="str">
        <f aca="false">IF(COUNTIFS('Staffing Coverage'!$A$5:$A$12,E20,'Staffing Coverage'!$B$5:$B$12,G20)=0,"",IF(COUNTIFS($A$5:$A$10004,A20,$E$5:$E$10004,E20,$G$5:$G$10004,G20)&lt;INDEX('Staffing Coverage'!$C$5:$C$12,MATCH(1,('Staffing Coverage'!$A$5:$A$12=E20)*('Staffing Coverage'!$B$5:$B$12=G20),0)),"SHORT","OK"))</f>
        <v/>
      </c>
    </row>
    <row r="21" customFormat="false" ht="15" hidden="false" customHeight="false" outlineLevel="0" collapsed="false">
      <c r="A21" s="15" t="n">
        <v>46296</v>
      </c>
      <c r="B21" s="16" t="str">
        <f aca="false">TEXT(A21,"ddd")</f>
        <v>Thu</v>
      </c>
      <c r="C21" s="10" t="s">
        <v>204</v>
      </c>
      <c r="D21" s="16" t="str">
        <f aca="false">IFERROR(INDEX('Staff Master'!$B$5:$B$24,MATCH(C21,'Staff Master'!$A$5:$A$24,0)),"")</f>
        <v>Josephine Cruz</v>
      </c>
      <c r="E21" s="16" t="str">
        <f aca="false">IFERROR(INDEX('Staff Master'!$D$5:$D$24,MATCH(C21,'Staff Master'!$A$5:$A$24,0)),"")</f>
        <v>CSSD</v>
      </c>
      <c r="F21" s="16" t="str">
        <f aca="false">IFERROR(INDEX('Staff Master'!$E$5:$E$24,MATCH(C21,'Staff Master'!$A$5:$A$24,0)),"")</f>
        <v>CSSD Technician</v>
      </c>
      <c r="G21" s="10" t="s">
        <v>87</v>
      </c>
      <c r="H21" s="17" t="n">
        <f aca="false">IFERROR(INDEX('Shift Master'!$C$5:$C$16,MATCH(G21,'Shift Master'!$A$5:$A$16,0)),"")</f>
        <v>0.333333333333333</v>
      </c>
      <c r="I21" s="17" t="n">
        <f aca="false">IFERROR(INDEX('Shift Master'!$D$5:$D$16,MATCH(G21,'Shift Master'!$A$5:$A$16,0)),"")</f>
        <v>0.708333333333333</v>
      </c>
      <c r="J21" s="16" t="n">
        <f aca="false">IFERROR(INDEX('Shift Master'!$E$5:$E$16,MATCH(G21,'Shift Master'!$A$5:$A$16,0)),"")</f>
        <v>60</v>
      </c>
      <c r="K21" s="16" t="n">
        <f aca="false">IFERROR(INDEX('Shift Master'!$G$5:$G$16,MATCH(G21,'Shift Master'!$A$5:$A$16,0)),0)</f>
        <v>8</v>
      </c>
      <c r="L21" s="16" t="s">
        <v>228</v>
      </c>
      <c r="M21" s="16" t="s">
        <v>229</v>
      </c>
      <c r="N21" s="16" t="str">
        <f aca="false">IF(COUNTIFS('Staffing Coverage'!$A$5:$A$12,E21,'Staffing Coverage'!$B$5:$B$12,G21)=0,"",IF(COUNTIFS($A$5:$A$10004,A21,$E$5:$E$10004,E21,$G$5:$G$10004,G21)&lt;INDEX('Staffing Coverage'!$C$5:$C$12,MATCH(1,('Staffing Coverage'!$A$5:$A$12=E21)*('Staffing Coverage'!$B$5:$B$12=G21),0)),"SHORT","OK"))</f>
        <v>OK</v>
      </c>
    </row>
    <row r="22" customFormat="false" ht="15" hidden="false" customHeight="false" outlineLevel="0" collapsed="false">
      <c r="A22" s="15" t="n">
        <v>46296</v>
      </c>
      <c r="B22" s="16" t="str">
        <f aca="false">TEXT(A22,"ddd")</f>
        <v>Thu</v>
      </c>
      <c r="C22" s="10" t="s">
        <v>208</v>
      </c>
      <c r="D22" s="16" t="str">
        <f aca="false">IFERROR(INDEX('Staff Master'!$B$5:$B$24,MATCH(C22,'Staff Master'!$A$5:$A$24,0)),"")</f>
        <v>Rosalyn Tan</v>
      </c>
      <c r="E22" s="16" t="str">
        <f aca="false">IFERROR(INDEX('Staff Master'!$D$5:$D$24,MATCH(C22,'Staff Master'!$A$5:$A$24,0)),"")</f>
        <v>Cleaning</v>
      </c>
      <c r="F22" s="16" t="str">
        <f aca="false">IFERROR(INDEX('Staff Master'!$E$5:$E$24,MATCH(C22,'Staff Master'!$A$5:$A$24,0)),"")</f>
        <v>Cleaner</v>
      </c>
      <c r="G22" s="10" t="s">
        <v>87</v>
      </c>
      <c r="H22" s="17" t="n">
        <f aca="false">IFERROR(INDEX('Shift Master'!$C$5:$C$16,MATCH(G22,'Shift Master'!$A$5:$A$16,0)),"")</f>
        <v>0.333333333333333</v>
      </c>
      <c r="I22" s="17" t="n">
        <f aca="false">IFERROR(INDEX('Shift Master'!$D$5:$D$16,MATCH(G22,'Shift Master'!$A$5:$A$16,0)),"")</f>
        <v>0.708333333333333</v>
      </c>
      <c r="J22" s="16" t="n">
        <f aca="false">IFERROR(INDEX('Shift Master'!$E$5:$E$16,MATCH(G22,'Shift Master'!$A$5:$A$16,0)),"")</f>
        <v>60</v>
      </c>
      <c r="K22" s="16" t="n">
        <f aca="false">IFERROR(INDEX('Shift Master'!$G$5:$G$16,MATCH(G22,'Shift Master'!$A$5:$A$16,0)),0)</f>
        <v>8</v>
      </c>
      <c r="L22" s="16" t="s">
        <v>228</v>
      </c>
      <c r="M22" s="16" t="s">
        <v>229</v>
      </c>
      <c r="N22" s="16" t="str">
        <f aca="false">IF(COUNTIFS('Staffing Coverage'!$A$5:$A$12,E22,'Staffing Coverage'!$B$5:$B$12,G22)=0,"",IF(COUNTIFS($A$5:$A$10004,A22,$E$5:$E$10004,E22,$G$5:$G$10004,G22)&lt;INDEX('Staffing Coverage'!$C$5:$C$12,MATCH(1,('Staffing Coverage'!$A$5:$A$12=E22)*('Staffing Coverage'!$B$5:$B$12=G22),0)),"SHORT","OK"))</f>
        <v>OK</v>
      </c>
    </row>
    <row r="23" customFormat="false" ht="15" hidden="false" customHeight="false" outlineLevel="0" collapsed="false">
      <c r="A23" s="15" t="n">
        <v>46296</v>
      </c>
      <c r="B23" s="16" t="str">
        <f aca="false">TEXT(A23,"ddd")</f>
        <v>Thu</v>
      </c>
      <c r="C23" s="10" t="s">
        <v>212</v>
      </c>
      <c r="D23" s="16" t="str">
        <f aca="false">IFERROR(INDEX('Staff Master'!$B$5:$B$24,MATCH(C23,'Staff Master'!$A$5:$A$24,0)),"")</f>
        <v>Hassan Baig</v>
      </c>
      <c r="E23" s="16" t="str">
        <f aca="false">IFERROR(INDEX('Staff Master'!$D$5:$D$24,MATCH(C23,'Staff Master'!$A$5:$A$24,0)),"")</f>
        <v>Facilities</v>
      </c>
      <c r="F23" s="16" t="str">
        <f aca="false">IFERROR(INDEX('Staff Master'!$E$5:$E$24,MATCH(C23,'Staff Master'!$A$5:$A$24,0)),"")</f>
        <v>Facility Manager</v>
      </c>
      <c r="G23" s="10" t="s">
        <v>90</v>
      </c>
      <c r="H23" s="17" t="n">
        <f aca="false">IFERROR(INDEX('Shift Master'!$C$5:$C$16,MATCH(G23,'Shift Master'!$A$5:$A$16,0)),"")</f>
        <v>0.375</v>
      </c>
      <c r="I23" s="17" t="n">
        <f aca="false">IFERROR(INDEX('Shift Master'!$D$5:$D$16,MATCH(G23,'Shift Master'!$A$5:$A$16,0)),"")</f>
        <v>0.75</v>
      </c>
      <c r="J23" s="16" t="n">
        <f aca="false">IFERROR(INDEX('Shift Master'!$E$5:$E$16,MATCH(G23,'Shift Master'!$A$5:$A$16,0)),"")</f>
        <v>60</v>
      </c>
      <c r="K23" s="16" t="n">
        <f aca="false">IFERROR(INDEX('Shift Master'!$G$5:$G$16,MATCH(G23,'Shift Master'!$A$5:$A$16,0)),0)</f>
        <v>8</v>
      </c>
      <c r="L23" s="16" t="s">
        <v>228</v>
      </c>
      <c r="M23" s="16" t="s">
        <v>229</v>
      </c>
      <c r="N23" s="16" t="str">
        <f aca="false">IF(COUNTIFS('Staffing Coverage'!$A$5:$A$12,E23,'Staffing Coverage'!$B$5:$B$12,G23)=0,"",IF(COUNTIFS($A$5:$A$10004,A23,$E$5:$E$10004,E23,$G$5:$G$10004,G23)&lt;INDEX('Staffing Coverage'!$C$5:$C$12,MATCH(1,('Staffing Coverage'!$A$5:$A$12=E23)*('Staffing Coverage'!$B$5:$B$12=G23),0)),"SHORT","OK"))</f>
        <v/>
      </c>
    </row>
    <row r="24" customFormat="false" ht="15" hidden="false" customHeight="false" outlineLevel="0" collapsed="false">
      <c r="A24" s="15" t="n">
        <v>46296</v>
      </c>
      <c r="B24" s="16" t="str">
        <f aca="false">TEXT(A24,"ddd")</f>
        <v>Thu</v>
      </c>
      <c r="C24" s="10" t="s">
        <v>178</v>
      </c>
      <c r="D24" s="16" t="str">
        <f aca="false">IFERROR(INDEX('Staff Master'!$B$5:$B$24,MATCH(C24,'Staff Master'!$A$5:$A$24,0)),"")</f>
        <v>Meera Pillai</v>
      </c>
      <c r="E24" s="16" t="str">
        <f aca="false">IFERROR(INDEX('Staff Master'!$D$5:$D$24,MATCH(C24,'Staff Master'!$A$5:$A$24,0)),"")</f>
        <v>HR</v>
      </c>
      <c r="F24" s="16" t="str">
        <f aca="false">IFERROR(INDEX('Staff Master'!$E$5:$E$24,MATCH(C24,'Staff Master'!$A$5:$A$24,0)),"")</f>
        <v>HR Executive</v>
      </c>
      <c r="G24" s="10" t="s">
        <v>90</v>
      </c>
      <c r="H24" s="17" t="n">
        <f aca="false">IFERROR(INDEX('Shift Master'!$C$5:$C$16,MATCH(G24,'Shift Master'!$A$5:$A$16,0)),"")</f>
        <v>0.375</v>
      </c>
      <c r="I24" s="17" t="n">
        <f aca="false">IFERROR(INDEX('Shift Master'!$D$5:$D$16,MATCH(G24,'Shift Master'!$A$5:$A$16,0)),"")</f>
        <v>0.75</v>
      </c>
      <c r="J24" s="16" t="n">
        <f aca="false">IFERROR(INDEX('Shift Master'!$E$5:$E$16,MATCH(G24,'Shift Master'!$A$5:$A$16,0)),"")</f>
        <v>60</v>
      </c>
      <c r="K24" s="16" t="n">
        <f aca="false">IFERROR(INDEX('Shift Master'!$G$5:$G$16,MATCH(G24,'Shift Master'!$A$5:$A$16,0)),0)</f>
        <v>8</v>
      </c>
      <c r="L24" s="16" t="s">
        <v>228</v>
      </c>
      <c r="M24" s="16" t="s">
        <v>229</v>
      </c>
      <c r="N24" s="16" t="str">
        <f aca="false">IF(COUNTIFS('Staffing Coverage'!$A$5:$A$12,E24,'Staffing Coverage'!$B$5:$B$12,G24)=0,"",IF(COUNTIFS($A$5:$A$10004,A24,$E$5:$E$10004,E24,$G$5:$G$10004,G24)&lt;INDEX('Staffing Coverage'!$C$5:$C$12,MATCH(1,('Staffing Coverage'!$A$5:$A$12=E24)*('Staffing Coverage'!$B$5:$B$12=G24),0)),"SHORT","OK"))</f>
        <v/>
      </c>
    </row>
    <row r="25" customFormat="false" ht="15" hidden="false" customHeight="false" outlineLevel="0" collapsed="false">
      <c r="A25" s="15" t="n">
        <v>46297</v>
      </c>
      <c r="B25" s="16" t="str">
        <f aca="false">TEXT(A25,"ddd")</f>
        <v>Fri</v>
      </c>
      <c r="C25" s="10" t="s">
        <v>128</v>
      </c>
      <c r="D25" s="16" t="str">
        <f aca="false">IFERROR(INDEX('Staff Master'!$B$5:$B$24,MATCH(C25,'Staff Master'!$A$5:$A$24,0)),"")</f>
        <v>Rashid Al Nuaimi</v>
      </c>
      <c r="E25" s="16" t="str">
        <f aca="false">IFERROR(INDEX('Staff Master'!$D$5:$D$24,MATCH(C25,'Staff Master'!$A$5:$A$24,0)),"")</f>
        <v>Management</v>
      </c>
      <c r="F25" s="16" t="str">
        <f aca="false">IFERROR(INDEX('Staff Master'!$E$5:$E$24,MATCH(C25,'Staff Master'!$A$5:$A$24,0)),"")</f>
        <v>CEO</v>
      </c>
      <c r="G25" s="10" t="s">
        <v>90</v>
      </c>
      <c r="H25" s="17" t="n">
        <f aca="false">IFERROR(INDEX('Shift Master'!$C$5:$C$16,MATCH(G25,'Shift Master'!$A$5:$A$16,0)),"")</f>
        <v>0.375</v>
      </c>
      <c r="I25" s="17" t="n">
        <f aca="false">IFERROR(INDEX('Shift Master'!$D$5:$D$16,MATCH(G25,'Shift Master'!$A$5:$A$16,0)),"")</f>
        <v>0.75</v>
      </c>
      <c r="J25" s="16" t="n">
        <f aca="false">IFERROR(INDEX('Shift Master'!$E$5:$E$16,MATCH(G25,'Shift Master'!$A$5:$A$16,0)),"")</f>
        <v>60</v>
      </c>
      <c r="K25" s="16" t="n">
        <f aca="false">IFERROR(INDEX('Shift Master'!$G$5:$G$16,MATCH(G25,'Shift Master'!$A$5:$A$16,0)),0)</f>
        <v>8</v>
      </c>
      <c r="L25" s="16" t="s">
        <v>228</v>
      </c>
      <c r="M25" s="16" t="s">
        <v>229</v>
      </c>
      <c r="N25" s="16" t="str">
        <f aca="false">IF(COUNTIFS('Staffing Coverage'!$A$5:$A$12,E25,'Staffing Coverage'!$B$5:$B$12,G25)=0,"",IF(COUNTIFS($A$5:$A$10004,A25,$E$5:$E$10004,E25,$G$5:$G$10004,G25)&lt;INDEX('Staffing Coverage'!$C$5:$C$12,MATCH(1,('Staffing Coverage'!$A$5:$A$12=E25)*('Staffing Coverage'!$B$5:$B$12=G25),0)),"SHORT","OK"))</f>
        <v/>
      </c>
    </row>
    <row r="26" customFormat="false" ht="15" hidden="false" customHeight="false" outlineLevel="0" collapsed="false">
      <c r="A26" s="15" t="n">
        <v>46297</v>
      </c>
      <c r="B26" s="16" t="str">
        <f aca="false">TEXT(A26,"ddd")</f>
        <v>Fri</v>
      </c>
      <c r="C26" s="10" t="s">
        <v>137</v>
      </c>
      <c r="D26" s="16" t="str">
        <f aca="false">IFERROR(INDEX('Staff Master'!$B$5:$B$24,MATCH(C26,'Staff Master'!$A$5:$A$24,0)),"")</f>
        <v>Dr. Sara Haddad</v>
      </c>
      <c r="E26" s="16" t="str">
        <f aca="false">IFERROR(INDEX('Staff Master'!$D$5:$D$24,MATCH(C26,'Staff Master'!$A$5:$A$24,0)),"")</f>
        <v>General Practice</v>
      </c>
      <c r="F26" s="16" t="str">
        <f aca="false">IFERROR(INDEX('Staff Master'!$E$5:$E$24,MATCH(C26,'Staff Master'!$A$5:$A$24,0)),"")</f>
        <v>Medical Director</v>
      </c>
      <c r="G26" s="10" t="s">
        <v>97</v>
      </c>
      <c r="H26" s="17" t="n">
        <f aca="false">IFERROR(INDEX('Shift Master'!$C$5:$C$16,MATCH(G26,'Shift Master'!$A$5:$A$16,0)),"")</f>
        <v>0</v>
      </c>
      <c r="I26" s="17" t="n">
        <f aca="false">IFERROR(INDEX('Shift Master'!$D$5:$D$16,MATCH(G26,'Shift Master'!$A$5:$A$16,0)),"")</f>
        <v>0</v>
      </c>
      <c r="J26" s="16" t="n">
        <f aca="false">IFERROR(INDEX('Shift Master'!$E$5:$E$16,MATCH(G26,'Shift Master'!$A$5:$A$16,0)),"")</f>
        <v>0</v>
      </c>
      <c r="K26" s="16" t="n">
        <f aca="false">IFERROR(INDEX('Shift Master'!$G$5:$G$16,MATCH(G26,'Shift Master'!$A$5:$A$16,0)),0)</f>
        <v>0</v>
      </c>
      <c r="L26" s="16" t="s">
        <v>228</v>
      </c>
      <c r="M26" s="16" t="s">
        <v>229</v>
      </c>
      <c r="N26" s="16" t="str">
        <f aca="false">IF(COUNTIFS('Staffing Coverage'!$A$5:$A$12,E26,'Staffing Coverage'!$B$5:$B$12,G26)=0,"",IF(COUNTIFS($A$5:$A$10004,A26,$E$5:$E$10004,E26,$G$5:$G$10004,G26)&lt;INDEX('Staffing Coverage'!$C$5:$C$12,MATCH(1,('Staffing Coverage'!$A$5:$A$12=E26)*('Staffing Coverage'!$B$5:$B$12=G26),0)),"SHORT","OK"))</f>
        <v/>
      </c>
    </row>
    <row r="27" customFormat="false" ht="15" hidden="false" customHeight="false" outlineLevel="0" collapsed="false">
      <c r="A27" s="15" t="n">
        <v>46297</v>
      </c>
      <c r="B27" s="16" t="str">
        <f aca="false">TEXT(A27,"ddd")</f>
        <v>Fri</v>
      </c>
      <c r="C27" s="10" t="s">
        <v>142</v>
      </c>
      <c r="D27" s="16" t="str">
        <f aca="false">IFERROR(INDEX('Staff Master'!$B$5:$B$24,MATCH(C27,'Staff Master'!$A$5:$A$24,0)),"")</f>
        <v>Dr. Omar Khalil</v>
      </c>
      <c r="E27" s="16" t="str">
        <f aca="false">IFERROR(INDEX('Staff Master'!$D$5:$D$24,MATCH(C27,'Staff Master'!$A$5:$A$24,0)),"")</f>
        <v>General Practice</v>
      </c>
      <c r="F27" s="16" t="str">
        <f aca="false">IFERROR(INDEX('Staff Master'!$E$5:$E$24,MATCH(C27,'Staff Master'!$A$5:$A$24,0)),"")</f>
        <v>Doctor</v>
      </c>
      <c r="G27" s="10" t="s">
        <v>96</v>
      </c>
      <c r="H27" s="17" t="n">
        <f aca="false">IFERROR(INDEX('Shift Master'!$C$5:$C$16,MATCH(G27,'Shift Master'!$A$5:$A$16,0)),"")</f>
        <v>0.375</v>
      </c>
      <c r="I27" s="17" t="n">
        <f aca="false">IFERROR(INDEX('Shift Master'!$D$5:$D$16,MATCH(G27,'Shift Master'!$A$5:$A$16,0)),"")</f>
        <v>0.708333333333333</v>
      </c>
      <c r="J27" s="16" t="n">
        <f aca="false">IFERROR(INDEX('Shift Master'!$E$5:$E$16,MATCH(G27,'Shift Master'!$A$5:$A$16,0)),"")</f>
        <v>60</v>
      </c>
      <c r="K27" s="16" t="n">
        <f aca="false">IFERROR(INDEX('Shift Master'!$G$5:$G$16,MATCH(G27,'Shift Master'!$A$5:$A$16,0)),0)</f>
        <v>7</v>
      </c>
      <c r="L27" s="16" t="s">
        <v>228</v>
      </c>
      <c r="M27" s="16" t="s">
        <v>229</v>
      </c>
      <c r="N27" s="16" t="str">
        <f aca="false">IF(COUNTIFS('Staffing Coverage'!$A$5:$A$12,E27,'Staffing Coverage'!$B$5:$B$12,G27)=0,"",IF(COUNTIFS($A$5:$A$10004,A27,$E$5:$E$10004,E27,$G$5:$G$10004,G27)&lt;INDEX('Staffing Coverage'!$C$5:$C$12,MATCH(1,('Staffing Coverage'!$A$5:$A$12=E27)*('Staffing Coverage'!$B$5:$B$12=G27),0)),"SHORT","OK"))</f>
        <v/>
      </c>
    </row>
    <row r="28" customFormat="false" ht="15" hidden="false" customHeight="false" outlineLevel="0" collapsed="false">
      <c r="A28" s="15" t="n">
        <v>46297</v>
      </c>
      <c r="B28" s="16" t="str">
        <f aca="false">TEXT(A28,"ddd")</f>
        <v>Fri</v>
      </c>
      <c r="C28" s="10" t="s">
        <v>146</v>
      </c>
      <c r="D28" s="16" t="str">
        <f aca="false">IFERROR(INDEX('Staff Master'!$B$5:$B$24,MATCH(C28,'Staff Master'!$A$5:$A$24,0)),"")</f>
        <v>Dr. Lina Abboud</v>
      </c>
      <c r="E28" s="16" t="str">
        <f aca="false">IFERROR(INDEX('Staff Master'!$D$5:$D$24,MATCH(C28,'Staff Master'!$A$5:$A$24,0)),"")</f>
        <v>Dental</v>
      </c>
      <c r="F28" s="16" t="str">
        <f aca="false">IFERROR(INDEX('Staff Master'!$E$5:$E$24,MATCH(C28,'Staff Master'!$A$5:$A$24,0)),"")</f>
        <v>Dentist</v>
      </c>
      <c r="G28" s="10" t="s">
        <v>97</v>
      </c>
      <c r="H28" s="17" t="n">
        <f aca="false">IFERROR(INDEX('Shift Master'!$C$5:$C$16,MATCH(G28,'Shift Master'!$A$5:$A$16,0)),"")</f>
        <v>0</v>
      </c>
      <c r="I28" s="17" t="n">
        <f aca="false">IFERROR(INDEX('Shift Master'!$D$5:$D$16,MATCH(G28,'Shift Master'!$A$5:$A$16,0)),"")</f>
        <v>0</v>
      </c>
      <c r="J28" s="16" t="n">
        <f aca="false">IFERROR(INDEX('Shift Master'!$E$5:$E$16,MATCH(G28,'Shift Master'!$A$5:$A$16,0)),"")</f>
        <v>0</v>
      </c>
      <c r="K28" s="16" t="n">
        <f aca="false">IFERROR(INDEX('Shift Master'!$G$5:$G$16,MATCH(G28,'Shift Master'!$A$5:$A$16,0)),0)</f>
        <v>0</v>
      </c>
      <c r="L28" s="16" t="s">
        <v>228</v>
      </c>
      <c r="M28" s="16" t="s">
        <v>229</v>
      </c>
      <c r="N28" s="16" t="str">
        <f aca="false">IF(COUNTIFS('Staffing Coverage'!$A$5:$A$12,E28,'Staffing Coverage'!$B$5:$B$12,G28)=0,"",IF(COUNTIFS($A$5:$A$10004,A28,$E$5:$E$10004,E28,$G$5:$G$10004,G28)&lt;INDEX('Staffing Coverage'!$C$5:$C$12,MATCH(1,('Staffing Coverage'!$A$5:$A$12=E28)*('Staffing Coverage'!$B$5:$B$12=G28),0)),"SHORT","OK"))</f>
        <v/>
      </c>
    </row>
    <row r="29" customFormat="false" ht="15" hidden="false" customHeight="false" outlineLevel="0" collapsed="false">
      <c r="A29" s="15" t="n">
        <v>46297</v>
      </c>
      <c r="B29" s="16" t="str">
        <f aca="false">TEXT(A29,"ddd")</f>
        <v>Fri</v>
      </c>
      <c r="C29" s="10" t="s">
        <v>150</v>
      </c>
      <c r="D29" s="16" t="str">
        <f aca="false">IFERROR(INDEX('Staff Master'!$B$5:$B$24,MATCH(C29,'Staff Master'!$A$5:$A$24,0)),"")</f>
        <v>Dr. Farah Idris</v>
      </c>
      <c r="E29" s="16" t="str">
        <f aca="false">IFERROR(INDEX('Staff Master'!$D$5:$D$24,MATCH(C29,'Staff Master'!$A$5:$A$24,0)),"")</f>
        <v>Dental</v>
      </c>
      <c r="F29" s="16" t="str">
        <f aca="false">IFERROR(INDEX('Staff Master'!$E$5:$E$24,MATCH(C29,'Staff Master'!$A$5:$A$24,0)),"")</f>
        <v>Dentist</v>
      </c>
      <c r="G29" s="10" t="s">
        <v>96</v>
      </c>
      <c r="H29" s="17" t="n">
        <f aca="false">IFERROR(INDEX('Shift Master'!$C$5:$C$16,MATCH(G29,'Shift Master'!$A$5:$A$16,0)),"")</f>
        <v>0.375</v>
      </c>
      <c r="I29" s="17" t="n">
        <f aca="false">IFERROR(INDEX('Shift Master'!$D$5:$D$16,MATCH(G29,'Shift Master'!$A$5:$A$16,0)),"")</f>
        <v>0.708333333333333</v>
      </c>
      <c r="J29" s="16" t="n">
        <f aca="false">IFERROR(INDEX('Shift Master'!$E$5:$E$16,MATCH(G29,'Shift Master'!$A$5:$A$16,0)),"")</f>
        <v>60</v>
      </c>
      <c r="K29" s="16" t="n">
        <f aca="false">IFERROR(INDEX('Shift Master'!$G$5:$G$16,MATCH(G29,'Shift Master'!$A$5:$A$16,0)),0)</f>
        <v>7</v>
      </c>
      <c r="L29" s="16" t="s">
        <v>228</v>
      </c>
      <c r="M29" s="16" t="s">
        <v>229</v>
      </c>
      <c r="N29" s="16" t="str">
        <f aca="false">IF(COUNTIFS('Staffing Coverage'!$A$5:$A$12,E29,'Staffing Coverage'!$B$5:$B$12,G29)=0,"",IF(COUNTIFS($A$5:$A$10004,A29,$E$5:$E$10004,E29,$G$5:$G$10004,G29)&lt;INDEX('Staffing Coverage'!$C$5:$C$12,MATCH(1,('Staffing Coverage'!$A$5:$A$12=E29)*('Staffing Coverage'!$B$5:$B$12=G29),0)),"SHORT","OK"))</f>
        <v/>
      </c>
    </row>
    <row r="30" customFormat="false" ht="15" hidden="false" customHeight="false" outlineLevel="0" collapsed="false">
      <c r="A30" s="15" t="n">
        <v>46297</v>
      </c>
      <c r="B30" s="16" t="str">
        <f aca="false">TEXT(A30,"ddd")</f>
        <v>Fri</v>
      </c>
      <c r="C30" s="10" t="s">
        <v>157</v>
      </c>
      <c r="D30" s="16" t="str">
        <f aca="false">IFERROR(INDEX('Staff Master'!$B$5:$B$24,MATCH(C30,'Staff Master'!$A$5:$A$24,0)),"")</f>
        <v>Dr. Youssef Nassar</v>
      </c>
      <c r="E30" s="16" t="str">
        <f aca="false">IFERROR(INDEX('Staff Master'!$D$5:$D$24,MATCH(C30,'Staff Master'!$A$5:$A$24,0)),"")</f>
        <v>General Practice</v>
      </c>
      <c r="F30" s="16" t="str">
        <f aca="false">IFERROR(INDEX('Staff Master'!$E$5:$E$24,MATCH(C30,'Staff Master'!$A$5:$A$24,0)),"")</f>
        <v>General Practitioner</v>
      </c>
      <c r="G30" s="10" t="s">
        <v>96</v>
      </c>
      <c r="H30" s="17" t="n">
        <f aca="false">IFERROR(INDEX('Shift Master'!$C$5:$C$16,MATCH(G30,'Shift Master'!$A$5:$A$16,0)),"")</f>
        <v>0.375</v>
      </c>
      <c r="I30" s="17" t="n">
        <f aca="false">IFERROR(INDEX('Shift Master'!$D$5:$D$16,MATCH(G30,'Shift Master'!$A$5:$A$16,0)),"")</f>
        <v>0.708333333333333</v>
      </c>
      <c r="J30" s="16" t="n">
        <f aca="false">IFERROR(INDEX('Shift Master'!$E$5:$E$16,MATCH(G30,'Shift Master'!$A$5:$A$16,0)),"")</f>
        <v>60</v>
      </c>
      <c r="K30" s="16" t="n">
        <f aca="false">IFERROR(INDEX('Shift Master'!$G$5:$G$16,MATCH(G30,'Shift Master'!$A$5:$A$16,0)),0)</f>
        <v>7</v>
      </c>
      <c r="L30" s="16" t="s">
        <v>228</v>
      </c>
      <c r="M30" s="16" t="s">
        <v>229</v>
      </c>
      <c r="N30" s="16" t="str">
        <f aca="false">IF(COUNTIFS('Staffing Coverage'!$A$5:$A$12,E30,'Staffing Coverage'!$B$5:$B$12,G30)=0,"",IF(COUNTIFS($A$5:$A$10004,A30,$E$5:$E$10004,E30,$G$5:$G$10004,G30)&lt;INDEX('Staffing Coverage'!$C$5:$C$12,MATCH(1,('Staffing Coverage'!$A$5:$A$12=E30)*('Staffing Coverage'!$B$5:$B$12=G30),0)),"SHORT","OK"))</f>
        <v/>
      </c>
    </row>
    <row r="31" customFormat="false" ht="15" hidden="false" customHeight="false" outlineLevel="0" collapsed="false">
      <c r="A31" s="15" t="n">
        <v>46297</v>
      </c>
      <c r="B31" s="16" t="str">
        <f aca="false">TEXT(A31,"ddd")</f>
        <v>Fri</v>
      </c>
      <c r="C31" s="10" t="s">
        <v>161</v>
      </c>
      <c r="D31" s="16" t="str">
        <f aca="false">IFERROR(INDEX('Staff Master'!$B$5:$B$24,MATCH(C31,'Staff Master'!$A$5:$A$24,0)),"")</f>
        <v>Grace Fernandez</v>
      </c>
      <c r="E31" s="16" t="str">
        <f aca="false">IFERROR(INDEX('Staff Master'!$D$5:$D$24,MATCH(C31,'Staff Master'!$A$5:$A$24,0)),"")</f>
        <v>Nursing</v>
      </c>
      <c r="F31" s="16" t="str">
        <f aca="false">IFERROR(INDEX('Staff Master'!$E$5:$E$24,MATCH(C31,'Staff Master'!$A$5:$A$24,0)),"")</f>
        <v>Nurse</v>
      </c>
      <c r="G31" s="10" t="s">
        <v>87</v>
      </c>
      <c r="H31" s="17" t="n">
        <f aca="false">IFERROR(INDEX('Shift Master'!$C$5:$C$16,MATCH(G31,'Shift Master'!$A$5:$A$16,0)),"")</f>
        <v>0.333333333333333</v>
      </c>
      <c r="I31" s="17" t="n">
        <f aca="false">IFERROR(INDEX('Shift Master'!$D$5:$D$16,MATCH(G31,'Shift Master'!$A$5:$A$16,0)),"")</f>
        <v>0.708333333333333</v>
      </c>
      <c r="J31" s="16" t="n">
        <f aca="false">IFERROR(INDEX('Shift Master'!$E$5:$E$16,MATCH(G31,'Shift Master'!$A$5:$A$16,0)),"")</f>
        <v>60</v>
      </c>
      <c r="K31" s="16" t="n">
        <f aca="false">IFERROR(INDEX('Shift Master'!$G$5:$G$16,MATCH(G31,'Shift Master'!$A$5:$A$16,0)),0)</f>
        <v>8</v>
      </c>
      <c r="L31" s="16" t="s">
        <v>228</v>
      </c>
      <c r="M31" s="16" t="s">
        <v>229</v>
      </c>
      <c r="N31" s="16" t="str">
        <f aca="false">IF(COUNTIFS('Staffing Coverage'!$A$5:$A$12,E31,'Staffing Coverage'!$B$5:$B$12,G31)=0,"",IF(COUNTIFS($A$5:$A$10004,A31,$E$5:$E$10004,E31,$G$5:$G$10004,G31)&lt;INDEX('Staffing Coverage'!$C$5:$C$12,MATCH(1,('Staffing Coverage'!$A$5:$A$12=E31)*('Staffing Coverage'!$B$5:$B$12=G31),0)),"SHORT","OK"))</f>
        <v>OK</v>
      </c>
    </row>
    <row r="32" customFormat="false" ht="15" hidden="false" customHeight="false" outlineLevel="0" collapsed="false">
      <c r="A32" s="15" t="n">
        <v>46297</v>
      </c>
      <c r="B32" s="16" t="str">
        <f aca="false">TEXT(A32,"ddd")</f>
        <v>Fri</v>
      </c>
      <c r="C32" s="10" t="s">
        <v>165</v>
      </c>
      <c r="D32" s="16" t="str">
        <f aca="false">IFERROR(INDEX('Staff Master'!$B$5:$B$24,MATCH(C32,'Staff Master'!$A$5:$A$24,0)),"")</f>
        <v>Priya Nair</v>
      </c>
      <c r="E32" s="16" t="str">
        <f aca="false">IFERROR(INDEX('Staff Master'!$D$5:$D$24,MATCH(C32,'Staff Master'!$A$5:$A$24,0)),"")</f>
        <v>Nursing</v>
      </c>
      <c r="F32" s="16" t="str">
        <f aca="false">IFERROR(INDEX('Staff Master'!$E$5:$E$24,MATCH(C32,'Staff Master'!$A$5:$A$24,0)),"")</f>
        <v>Nurse</v>
      </c>
      <c r="G32" s="10" t="s">
        <v>90</v>
      </c>
      <c r="H32" s="17" t="n">
        <f aca="false">IFERROR(INDEX('Shift Master'!$C$5:$C$16,MATCH(G32,'Shift Master'!$A$5:$A$16,0)),"")</f>
        <v>0.375</v>
      </c>
      <c r="I32" s="17" t="n">
        <f aca="false">IFERROR(INDEX('Shift Master'!$D$5:$D$16,MATCH(G32,'Shift Master'!$A$5:$A$16,0)),"")</f>
        <v>0.75</v>
      </c>
      <c r="J32" s="16" t="n">
        <f aca="false">IFERROR(INDEX('Shift Master'!$E$5:$E$16,MATCH(G32,'Shift Master'!$A$5:$A$16,0)),"")</f>
        <v>60</v>
      </c>
      <c r="K32" s="16" t="n">
        <f aca="false">IFERROR(INDEX('Shift Master'!$G$5:$G$16,MATCH(G32,'Shift Master'!$A$5:$A$16,0)),0)</f>
        <v>8</v>
      </c>
      <c r="L32" s="16" t="s">
        <v>228</v>
      </c>
      <c r="M32" s="16" t="s">
        <v>229</v>
      </c>
      <c r="N32" s="16" t="str">
        <f aca="false">IF(COUNTIFS('Staffing Coverage'!$A$5:$A$12,E32,'Staffing Coverage'!$B$5:$B$12,G32)=0,"",IF(COUNTIFS($A$5:$A$10004,A32,$E$5:$E$10004,E32,$G$5:$G$10004,G32)&lt;INDEX('Staffing Coverage'!$C$5:$C$12,MATCH(1,('Staffing Coverage'!$A$5:$A$12=E32)*('Staffing Coverage'!$B$5:$B$12=G32),0)),"SHORT","OK"))</f>
        <v>OK</v>
      </c>
    </row>
    <row r="33" customFormat="false" ht="15" hidden="false" customHeight="false" outlineLevel="0" collapsed="false">
      <c r="A33" s="15" t="n">
        <v>46297</v>
      </c>
      <c r="B33" s="16" t="str">
        <f aca="false">TEXT(A33,"ddd")</f>
        <v>Fri</v>
      </c>
      <c r="C33" s="10" t="s">
        <v>170</v>
      </c>
      <c r="D33" s="16" t="str">
        <f aca="false">IFERROR(INDEX('Staff Master'!$B$5:$B$24,MATCH(C33,'Staff Master'!$A$5:$A$24,0)),"")</f>
        <v>Maria Santos</v>
      </c>
      <c r="E33" s="16" t="str">
        <f aca="false">IFERROR(INDEX('Staff Master'!$D$5:$D$24,MATCH(C33,'Staff Master'!$A$5:$A$24,0)),"")</f>
        <v>Nursing</v>
      </c>
      <c r="F33" s="16" t="str">
        <f aca="false">IFERROR(INDEX('Staff Master'!$E$5:$E$24,MATCH(C33,'Staff Master'!$A$5:$A$24,0)),"")</f>
        <v>Nurse</v>
      </c>
      <c r="G33" s="10" t="s">
        <v>94</v>
      </c>
      <c r="H33" s="17" t="n">
        <f aca="false">IFERROR(INDEX('Shift Master'!$C$5:$C$16,MATCH(G33,'Shift Master'!$A$5:$A$16,0)),"")</f>
        <v>0.541666666666667</v>
      </c>
      <c r="I33" s="17" t="n">
        <f aca="false">IFERROR(INDEX('Shift Master'!$D$5:$D$16,MATCH(G33,'Shift Master'!$A$5:$A$16,0)),"")</f>
        <v>0.916666666666667</v>
      </c>
      <c r="J33" s="16" t="n">
        <f aca="false">IFERROR(INDEX('Shift Master'!$E$5:$E$16,MATCH(G33,'Shift Master'!$A$5:$A$16,0)),"")</f>
        <v>60</v>
      </c>
      <c r="K33" s="16" t="n">
        <f aca="false">IFERROR(INDEX('Shift Master'!$G$5:$G$16,MATCH(G33,'Shift Master'!$A$5:$A$16,0)),0)</f>
        <v>8</v>
      </c>
      <c r="L33" s="16" t="s">
        <v>228</v>
      </c>
      <c r="M33" s="16" t="s">
        <v>229</v>
      </c>
      <c r="N33" s="16" t="str">
        <f aca="false">IF(COUNTIFS('Staffing Coverage'!$A$5:$A$12,E33,'Staffing Coverage'!$B$5:$B$12,G33)=0,"",IF(COUNTIFS($A$5:$A$10004,A33,$E$5:$E$10004,E33,$G$5:$G$10004,G33)&lt;INDEX('Staffing Coverage'!$C$5:$C$12,MATCH(1,('Staffing Coverage'!$A$5:$A$12=E33)*('Staffing Coverage'!$B$5:$B$12=G33),0)),"SHORT","OK"))</f>
        <v/>
      </c>
    </row>
    <row r="34" customFormat="false" ht="15" hidden="false" customHeight="false" outlineLevel="0" collapsed="false">
      <c r="A34" s="15" t="n">
        <v>46297</v>
      </c>
      <c r="B34" s="16" t="str">
        <f aca="false">TEXT(A34,"ddd")</f>
        <v>Fri</v>
      </c>
      <c r="C34" s="10" t="s">
        <v>174</v>
      </c>
      <c r="D34" s="16" t="str">
        <f aca="false">IFERROR(INDEX('Staff Master'!$B$5:$B$24,MATCH(C34,'Staff Master'!$A$5:$A$24,0)),"")</f>
        <v>Aisha Al Shamsi</v>
      </c>
      <c r="E34" s="16" t="str">
        <f aca="false">IFERROR(INDEX('Staff Master'!$D$5:$D$24,MATCH(C34,'Staff Master'!$A$5:$A$24,0)),"")</f>
        <v>Reception</v>
      </c>
      <c r="F34" s="16" t="str">
        <f aca="false">IFERROR(INDEX('Staff Master'!$E$5:$E$24,MATCH(C34,'Staff Master'!$A$5:$A$24,0)),"")</f>
        <v>Receptionist</v>
      </c>
      <c r="G34" s="10" t="s">
        <v>87</v>
      </c>
      <c r="H34" s="17" t="n">
        <f aca="false">IFERROR(INDEX('Shift Master'!$C$5:$C$16,MATCH(G34,'Shift Master'!$A$5:$A$16,0)),"")</f>
        <v>0.333333333333333</v>
      </c>
      <c r="I34" s="17" t="n">
        <f aca="false">IFERROR(INDEX('Shift Master'!$D$5:$D$16,MATCH(G34,'Shift Master'!$A$5:$A$16,0)),"")</f>
        <v>0.708333333333333</v>
      </c>
      <c r="J34" s="16" t="n">
        <f aca="false">IFERROR(INDEX('Shift Master'!$E$5:$E$16,MATCH(G34,'Shift Master'!$A$5:$A$16,0)),"")</f>
        <v>60</v>
      </c>
      <c r="K34" s="16" t="n">
        <f aca="false">IFERROR(INDEX('Shift Master'!$G$5:$G$16,MATCH(G34,'Shift Master'!$A$5:$A$16,0)),0)</f>
        <v>8</v>
      </c>
      <c r="L34" s="16" t="s">
        <v>228</v>
      </c>
      <c r="M34" s="16" t="s">
        <v>229</v>
      </c>
      <c r="N34" s="16" t="str">
        <f aca="false">IF(COUNTIFS('Staffing Coverage'!$A$5:$A$12,E34,'Staffing Coverage'!$B$5:$B$12,G34)=0,"",IF(COUNTIFS($A$5:$A$10004,A34,$E$5:$E$10004,E34,$G$5:$G$10004,G34)&lt;INDEX('Staffing Coverage'!$C$5:$C$12,MATCH(1,('Staffing Coverage'!$A$5:$A$12=E34)*('Staffing Coverage'!$B$5:$B$12=G34),0)),"SHORT","OK"))</f>
        <v>SHORT</v>
      </c>
    </row>
    <row r="35" customFormat="false" ht="15" hidden="false" customHeight="false" outlineLevel="0" collapsed="false">
      <c r="A35" s="15" t="n">
        <v>46297</v>
      </c>
      <c r="B35" s="16" t="str">
        <f aca="false">TEXT(A35,"ddd")</f>
        <v>Fri</v>
      </c>
      <c r="C35" s="10" t="s">
        <v>179</v>
      </c>
      <c r="D35" s="16" t="str">
        <f aca="false">IFERROR(INDEX('Staff Master'!$B$5:$B$24,MATCH(C35,'Staff Master'!$A$5:$A$24,0)),"")</f>
        <v>John Dsouza</v>
      </c>
      <c r="E35" s="16" t="str">
        <f aca="false">IFERROR(INDEX('Staff Master'!$D$5:$D$24,MATCH(C35,'Staff Master'!$A$5:$A$24,0)),"")</f>
        <v>Reception</v>
      </c>
      <c r="F35" s="16" t="str">
        <f aca="false">IFERROR(INDEX('Staff Master'!$E$5:$E$24,MATCH(C35,'Staff Master'!$A$5:$A$24,0)),"")</f>
        <v>Receptionist</v>
      </c>
      <c r="G35" s="10" t="s">
        <v>90</v>
      </c>
      <c r="H35" s="17" t="n">
        <f aca="false">IFERROR(INDEX('Shift Master'!$C$5:$C$16,MATCH(G35,'Shift Master'!$A$5:$A$16,0)),"")</f>
        <v>0.375</v>
      </c>
      <c r="I35" s="17" t="n">
        <f aca="false">IFERROR(INDEX('Shift Master'!$D$5:$D$16,MATCH(G35,'Shift Master'!$A$5:$A$16,0)),"")</f>
        <v>0.75</v>
      </c>
      <c r="J35" s="16" t="n">
        <f aca="false">IFERROR(INDEX('Shift Master'!$E$5:$E$16,MATCH(G35,'Shift Master'!$A$5:$A$16,0)),"")</f>
        <v>60</v>
      </c>
      <c r="K35" s="16" t="n">
        <f aca="false">IFERROR(INDEX('Shift Master'!$G$5:$G$16,MATCH(G35,'Shift Master'!$A$5:$A$16,0)),0)</f>
        <v>8</v>
      </c>
      <c r="L35" s="16" t="s">
        <v>228</v>
      </c>
      <c r="M35" s="16" t="s">
        <v>229</v>
      </c>
      <c r="N35" s="16" t="str">
        <f aca="false">IF(COUNTIFS('Staffing Coverage'!$A$5:$A$12,E35,'Staffing Coverage'!$B$5:$B$12,G35)=0,"",IF(COUNTIFS($A$5:$A$10004,A35,$E$5:$E$10004,E35,$G$5:$G$10004,G35)&lt;INDEX('Staffing Coverage'!$C$5:$C$12,MATCH(1,('Staffing Coverage'!$A$5:$A$12=E35)*('Staffing Coverage'!$B$5:$B$12=G35),0)),"SHORT","OK"))</f>
        <v>SHORT</v>
      </c>
    </row>
    <row r="36" customFormat="false" ht="15" hidden="false" customHeight="false" outlineLevel="0" collapsed="false">
      <c r="A36" s="15" t="n">
        <v>46297</v>
      </c>
      <c r="B36" s="16" t="str">
        <f aca="false">TEXT(A36,"ddd")</f>
        <v>Fri</v>
      </c>
      <c r="C36" s="10" t="s">
        <v>184</v>
      </c>
      <c r="D36" s="16" t="str">
        <f aca="false">IFERROR(INDEX('Staff Master'!$B$5:$B$24,MATCH(C36,'Staff Master'!$A$5:$A$24,0)),"")</f>
        <v>Fatima Zahra</v>
      </c>
      <c r="E36" s="16" t="str">
        <f aca="false">IFERROR(INDEX('Staff Master'!$D$5:$D$24,MATCH(C36,'Staff Master'!$A$5:$A$24,0)),"")</f>
        <v>Reception</v>
      </c>
      <c r="F36" s="16" t="str">
        <f aca="false">IFERROR(INDEX('Staff Master'!$E$5:$E$24,MATCH(C36,'Staff Master'!$A$5:$A$24,0)),"")</f>
        <v>Receptionist</v>
      </c>
      <c r="G36" s="10" t="s">
        <v>94</v>
      </c>
      <c r="H36" s="17" t="n">
        <f aca="false">IFERROR(INDEX('Shift Master'!$C$5:$C$16,MATCH(G36,'Shift Master'!$A$5:$A$16,0)),"")</f>
        <v>0.541666666666667</v>
      </c>
      <c r="I36" s="17" t="n">
        <f aca="false">IFERROR(INDEX('Shift Master'!$D$5:$D$16,MATCH(G36,'Shift Master'!$A$5:$A$16,0)),"")</f>
        <v>0.916666666666667</v>
      </c>
      <c r="J36" s="16" t="n">
        <f aca="false">IFERROR(INDEX('Shift Master'!$E$5:$E$16,MATCH(G36,'Shift Master'!$A$5:$A$16,0)),"")</f>
        <v>60</v>
      </c>
      <c r="K36" s="16" t="n">
        <f aca="false">IFERROR(INDEX('Shift Master'!$G$5:$G$16,MATCH(G36,'Shift Master'!$A$5:$A$16,0)),0)</f>
        <v>8</v>
      </c>
      <c r="L36" s="16" t="s">
        <v>228</v>
      </c>
      <c r="M36" s="16" t="s">
        <v>229</v>
      </c>
      <c r="N36" s="16" t="str">
        <f aca="false">IF(COUNTIFS('Staffing Coverage'!$A$5:$A$12,E36,'Staffing Coverage'!$B$5:$B$12,G36)=0,"",IF(COUNTIFS($A$5:$A$10004,A36,$E$5:$E$10004,E36,$G$5:$G$10004,G36)&lt;INDEX('Staffing Coverage'!$C$5:$C$12,MATCH(1,('Staffing Coverage'!$A$5:$A$12=E36)*('Staffing Coverage'!$B$5:$B$12=G36),0)),"SHORT","OK"))</f>
        <v>OK</v>
      </c>
    </row>
    <row r="37" customFormat="false" ht="15" hidden="false" customHeight="false" outlineLevel="0" collapsed="false">
      <c r="A37" s="15" t="n">
        <v>46297</v>
      </c>
      <c r="B37" s="16" t="str">
        <f aca="false">TEXT(A37,"ddd")</f>
        <v>Fri</v>
      </c>
      <c r="C37" s="10" t="s">
        <v>188</v>
      </c>
      <c r="D37" s="16" t="str">
        <f aca="false">IFERROR(INDEX('Staff Master'!$B$5:$B$24,MATCH(C37,'Staff Master'!$A$5:$A$24,0)),"")</f>
        <v>Ana Reyes</v>
      </c>
      <c r="E37" s="16" t="str">
        <f aca="false">IFERROR(INDEX('Staff Master'!$D$5:$D$24,MATCH(C37,'Staff Master'!$A$5:$A$24,0)),"")</f>
        <v>Dental</v>
      </c>
      <c r="F37" s="16" t="str">
        <f aca="false">IFERROR(INDEX('Staff Master'!$E$5:$E$24,MATCH(C37,'Staff Master'!$A$5:$A$24,0)),"")</f>
        <v>Dental Assistant</v>
      </c>
      <c r="G37" s="10" t="s">
        <v>87</v>
      </c>
      <c r="H37" s="17" t="n">
        <f aca="false">IFERROR(INDEX('Shift Master'!$C$5:$C$16,MATCH(G37,'Shift Master'!$A$5:$A$16,0)),"")</f>
        <v>0.333333333333333</v>
      </c>
      <c r="I37" s="17" t="n">
        <f aca="false">IFERROR(INDEX('Shift Master'!$D$5:$D$16,MATCH(G37,'Shift Master'!$A$5:$A$16,0)),"")</f>
        <v>0.708333333333333</v>
      </c>
      <c r="J37" s="16" t="n">
        <f aca="false">IFERROR(INDEX('Shift Master'!$E$5:$E$16,MATCH(G37,'Shift Master'!$A$5:$A$16,0)),"")</f>
        <v>60</v>
      </c>
      <c r="K37" s="16" t="n">
        <f aca="false">IFERROR(INDEX('Shift Master'!$G$5:$G$16,MATCH(G37,'Shift Master'!$A$5:$A$16,0)),0)</f>
        <v>8</v>
      </c>
      <c r="L37" s="16" t="s">
        <v>228</v>
      </c>
      <c r="M37" s="16" t="s">
        <v>229</v>
      </c>
      <c r="N37" s="16" t="str">
        <f aca="false">IF(COUNTIFS('Staffing Coverage'!$A$5:$A$12,E37,'Staffing Coverage'!$B$5:$B$12,G37)=0,"",IF(COUNTIFS($A$5:$A$10004,A37,$E$5:$E$10004,E37,$G$5:$G$10004,G37)&lt;INDEX('Staffing Coverage'!$C$5:$C$12,MATCH(1,('Staffing Coverage'!$A$5:$A$12=E37)*('Staffing Coverage'!$B$5:$B$12=G37),0)),"SHORT","OK"))</f>
        <v>OK</v>
      </c>
    </row>
    <row r="38" customFormat="false" ht="15" hidden="false" customHeight="false" outlineLevel="0" collapsed="false">
      <c r="A38" s="15" t="n">
        <v>46297</v>
      </c>
      <c r="B38" s="16" t="str">
        <f aca="false">TEXT(A38,"ddd")</f>
        <v>Fri</v>
      </c>
      <c r="C38" s="10" t="s">
        <v>192</v>
      </c>
      <c r="D38" s="16" t="str">
        <f aca="false">IFERROR(INDEX('Staff Master'!$B$5:$B$24,MATCH(C38,'Staff Master'!$A$5:$A$24,0)),"")</f>
        <v>Noor Hassan</v>
      </c>
      <c r="E38" s="16" t="str">
        <f aca="false">IFERROR(INDEX('Staff Master'!$D$5:$D$24,MATCH(C38,'Staff Master'!$A$5:$A$24,0)),"")</f>
        <v>Dental</v>
      </c>
      <c r="F38" s="16" t="str">
        <f aca="false">IFERROR(INDEX('Staff Master'!$E$5:$E$24,MATCH(C38,'Staff Master'!$A$5:$A$24,0)),"")</f>
        <v>Dental Assistant</v>
      </c>
      <c r="G38" s="10" t="s">
        <v>90</v>
      </c>
      <c r="H38" s="17" t="n">
        <f aca="false">IFERROR(INDEX('Shift Master'!$C$5:$C$16,MATCH(G38,'Shift Master'!$A$5:$A$16,0)),"")</f>
        <v>0.375</v>
      </c>
      <c r="I38" s="17" t="n">
        <f aca="false">IFERROR(INDEX('Shift Master'!$D$5:$D$16,MATCH(G38,'Shift Master'!$A$5:$A$16,0)),"")</f>
        <v>0.75</v>
      </c>
      <c r="J38" s="16" t="n">
        <f aca="false">IFERROR(INDEX('Shift Master'!$E$5:$E$16,MATCH(G38,'Shift Master'!$A$5:$A$16,0)),"")</f>
        <v>60</v>
      </c>
      <c r="K38" s="16" t="n">
        <f aca="false">IFERROR(INDEX('Shift Master'!$G$5:$G$16,MATCH(G38,'Shift Master'!$A$5:$A$16,0)),0)</f>
        <v>8</v>
      </c>
      <c r="L38" s="16" t="s">
        <v>228</v>
      </c>
      <c r="M38" s="16" t="s">
        <v>229</v>
      </c>
      <c r="N38" s="16" t="str">
        <f aca="false">IF(COUNTIFS('Staffing Coverage'!$A$5:$A$12,E38,'Staffing Coverage'!$B$5:$B$12,G38)=0,"",IF(COUNTIFS($A$5:$A$10004,A38,$E$5:$E$10004,E38,$G$5:$G$10004,G38)&lt;INDEX('Staffing Coverage'!$C$5:$C$12,MATCH(1,('Staffing Coverage'!$A$5:$A$12=E38)*('Staffing Coverage'!$B$5:$B$12=G38),0)),"SHORT","OK"))</f>
        <v/>
      </c>
    </row>
    <row r="39" customFormat="false" ht="15" hidden="false" customHeight="false" outlineLevel="0" collapsed="false">
      <c r="A39" s="15" t="n">
        <v>46297</v>
      </c>
      <c r="B39" s="16" t="str">
        <f aca="false">TEXT(A39,"ddd")</f>
        <v>Fri</v>
      </c>
      <c r="C39" s="10" t="s">
        <v>196</v>
      </c>
      <c r="D39" s="16" t="str">
        <f aca="false">IFERROR(INDEX('Staff Master'!$B$5:$B$24,MATCH(C39,'Staff Master'!$A$5:$A$24,0)),"")</f>
        <v>Karan Mehta</v>
      </c>
      <c r="E39" s="16" t="str">
        <f aca="false">IFERROR(INDEX('Staff Master'!$D$5:$D$24,MATCH(C39,'Staff Master'!$A$5:$A$24,0)),"")</f>
        <v>Laser</v>
      </c>
      <c r="F39" s="16" t="str">
        <f aca="false">IFERROR(INDEX('Staff Master'!$E$5:$E$24,MATCH(C39,'Staff Master'!$A$5:$A$24,0)),"")</f>
        <v>Laser Technician</v>
      </c>
      <c r="G39" s="10" t="s">
        <v>97</v>
      </c>
      <c r="H39" s="17" t="n">
        <f aca="false">IFERROR(INDEX('Shift Master'!$C$5:$C$16,MATCH(G39,'Shift Master'!$A$5:$A$16,0)),"")</f>
        <v>0</v>
      </c>
      <c r="I39" s="17" t="n">
        <f aca="false">IFERROR(INDEX('Shift Master'!$D$5:$D$16,MATCH(G39,'Shift Master'!$A$5:$A$16,0)),"")</f>
        <v>0</v>
      </c>
      <c r="J39" s="16" t="n">
        <f aca="false">IFERROR(INDEX('Shift Master'!$E$5:$E$16,MATCH(G39,'Shift Master'!$A$5:$A$16,0)),"")</f>
        <v>0</v>
      </c>
      <c r="K39" s="16" t="n">
        <f aca="false">IFERROR(INDEX('Shift Master'!$G$5:$G$16,MATCH(G39,'Shift Master'!$A$5:$A$16,0)),0)</f>
        <v>0</v>
      </c>
      <c r="L39" s="16" t="s">
        <v>228</v>
      </c>
      <c r="M39" s="16" t="s">
        <v>229</v>
      </c>
      <c r="N39" s="16" t="str">
        <f aca="false">IF(COUNTIFS('Staffing Coverage'!$A$5:$A$12,E39,'Staffing Coverage'!$B$5:$B$12,G39)=0,"",IF(COUNTIFS($A$5:$A$10004,A39,$E$5:$E$10004,E39,$G$5:$G$10004,G39)&lt;INDEX('Staffing Coverage'!$C$5:$C$12,MATCH(1,('Staffing Coverage'!$A$5:$A$12=E39)*('Staffing Coverage'!$B$5:$B$12=G39),0)),"SHORT","OK"))</f>
        <v/>
      </c>
    </row>
    <row r="40" customFormat="false" ht="15" hidden="false" customHeight="false" outlineLevel="0" collapsed="false">
      <c r="A40" s="15" t="n">
        <v>46297</v>
      </c>
      <c r="B40" s="16" t="str">
        <f aca="false">TEXT(A40,"ddd")</f>
        <v>Fri</v>
      </c>
      <c r="C40" s="10" t="s">
        <v>200</v>
      </c>
      <c r="D40" s="16" t="str">
        <f aca="false">IFERROR(INDEX('Staff Master'!$B$5:$B$24,MATCH(C40,'Staff Master'!$A$5:$A$24,0)),"")</f>
        <v>Imran Sheikh</v>
      </c>
      <c r="E40" s="16" t="str">
        <f aca="false">IFERROR(INDEX('Staff Master'!$D$5:$D$24,MATCH(C40,'Staff Master'!$A$5:$A$24,0)),"")</f>
        <v>Dental Laboratory</v>
      </c>
      <c r="F40" s="16" t="str">
        <f aca="false">IFERROR(INDEX('Staff Master'!$E$5:$E$24,MATCH(C40,'Staff Master'!$A$5:$A$24,0)),"")</f>
        <v>Dental Technician</v>
      </c>
      <c r="G40" s="10" t="s">
        <v>87</v>
      </c>
      <c r="H40" s="17" t="n">
        <f aca="false">IFERROR(INDEX('Shift Master'!$C$5:$C$16,MATCH(G40,'Shift Master'!$A$5:$A$16,0)),"")</f>
        <v>0.333333333333333</v>
      </c>
      <c r="I40" s="17" t="n">
        <f aca="false">IFERROR(INDEX('Shift Master'!$D$5:$D$16,MATCH(G40,'Shift Master'!$A$5:$A$16,0)),"")</f>
        <v>0.708333333333333</v>
      </c>
      <c r="J40" s="16" t="n">
        <f aca="false">IFERROR(INDEX('Shift Master'!$E$5:$E$16,MATCH(G40,'Shift Master'!$A$5:$A$16,0)),"")</f>
        <v>60</v>
      </c>
      <c r="K40" s="16" t="n">
        <f aca="false">IFERROR(INDEX('Shift Master'!$G$5:$G$16,MATCH(G40,'Shift Master'!$A$5:$A$16,0)),0)</f>
        <v>8</v>
      </c>
      <c r="L40" s="16" t="s">
        <v>228</v>
      </c>
      <c r="M40" s="16" t="s">
        <v>229</v>
      </c>
      <c r="N40" s="16" t="str">
        <f aca="false">IF(COUNTIFS('Staffing Coverage'!$A$5:$A$12,E40,'Staffing Coverage'!$B$5:$B$12,G40)=0,"",IF(COUNTIFS($A$5:$A$10004,A40,$E$5:$E$10004,E40,$G$5:$G$10004,G40)&lt;INDEX('Staffing Coverage'!$C$5:$C$12,MATCH(1,('Staffing Coverage'!$A$5:$A$12=E40)*('Staffing Coverage'!$B$5:$B$12=G40),0)),"SHORT","OK"))</f>
        <v/>
      </c>
    </row>
    <row r="41" customFormat="false" ht="15" hidden="false" customHeight="false" outlineLevel="0" collapsed="false">
      <c r="A41" s="15" t="n">
        <v>46297</v>
      </c>
      <c r="B41" s="16" t="str">
        <f aca="false">TEXT(A41,"ddd")</f>
        <v>Fri</v>
      </c>
      <c r="C41" s="10" t="s">
        <v>204</v>
      </c>
      <c r="D41" s="16" t="str">
        <f aca="false">IFERROR(INDEX('Staff Master'!$B$5:$B$24,MATCH(C41,'Staff Master'!$A$5:$A$24,0)),"")</f>
        <v>Josephine Cruz</v>
      </c>
      <c r="E41" s="16" t="str">
        <f aca="false">IFERROR(INDEX('Staff Master'!$D$5:$D$24,MATCH(C41,'Staff Master'!$A$5:$A$24,0)),"")</f>
        <v>CSSD</v>
      </c>
      <c r="F41" s="16" t="str">
        <f aca="false">IFERROR(INDEX('Staff Master'!$E$5:$E$24,MATCH(C41,'Staff Master'!$A$5:$A$24,0)),"")</f>
        <v>CSSD Technician</v>
      </c>
      <c r="G41" s="10" t="s">
        <v>87</v>
      </c>
      <c r="H41" s="17" t="n">
        <f aca="false">IFERROR(INDEX('Shift Master'!$C$5:$C$16,MATCH(G41,'Shift Master'!$A$5:$A$16,0)),"")</f>
        <v>0.333333333333333</v>
      </c>
      <c r="I41" s="17" t="n">
        <f aca="false">IFERROR(INDEX('Shift Master'!$D$5:$D$16,MATCH(G41,'Shift Master'!$A$5:$A$16,0)),"")</f>
        <v>0.708333333333333</v>
      </c>
      <c r="J41" s="16" t="n">
        <f aca="false">IFERROR(INDEX('Shift Master'!$E$5:$E$16,MATCH(G41,'Shift Master'!$A$5:$A$16,0)),"")</f>
        <v>60</v>
      </c>
      <c r="K41" s="16" t="n">
        <f aca="false">IFERROR(INDEX('Shift Master'!$G$5:$G$16,MATCH(G41,'Shift Master'!$A$5:$A$16,0)),0)</f>
        <v>8</v>
      </c>
      <c r="L41" s="16" t="s">
        <v>228</v>
      </c>
      <c r="M41" s="16" t="s">
        <v>229</v>
      </c>
      <c r="N41" s="16" t="str">
        <f aca="false">IF(COUNTIFS('Staffing Coverage'!$A$5:$A$12,E41,'Staffing Coverage'!$B$5:$B$12,G41)=0,"",IF(COUNTIFS($A$5:$A$10004,A41,$E$5:$E$10004,E41,$G$5:$G$10004,G41)&lt;INDEX('Staffing Coverage'!$C$5:$C$12,MATCH(1,('Staffing Coverage'!$A$5:$A$12=E41)*('Staffing Coverage'!$B$5:$B$12=G41),0)),"SHORT","OK"))</f>
        <v>OK</v>
      </c>
    </row>
    <row r="42" customFormat="false" ht="15" hidden="false" customHeight="false" outlineLevel="0" collapsed="false">
      <c r="A42" s="15" t="n">
        <v>46297</v>
      </c>
      <c r="B42" s="16" t="str">
        <f aca="false">TEXT(A42,"ddd")</f>
        <v>Fri</v>
      </c>
      <c r="C42" s="10" t="s">
        <v>208</v>
      </c>
      <c r="D42" s="16" t="str">
        <f aca="false">IFERROR(INDEX('Staff Master'!$B$5:$B$24,MATCH(C42,'Staff Master'!$A$5:$A$24,0)),"")</f>
        <v>Rosalyn Tan</v>
      </c>
      <c r="E42" s="16" t="str">
        <f aca="false">IFERROR(INDEX('Staff Master'!$D$5:$D$24,MATCH(C42,'Staff Master'!$A$5:$A$24,0)),"")</f>
        <v>Cleaning</v>
      </c>
      <c r="F42" s="16" t="str">
        <f aca="false">IFERROR(INDEX('Staff Master'!$E$5:$E$24,MATCH(C42,'Staff Master'!$A$5:$A$24,0)),"")</f>
        <v>Cleaner</v>
      </c>
      <c r="G42" s="10" t="s">
        <v>87</v>
      </c>
      <c r="H42" s="17" t="n">
        <f aca="false">IFERROR(INDEX('Shift Master'!$C$5:$C$16,MATCH(G42,'Shift Master'!$A$5:$A$16,0)),"")</f>
        <v>0.333333333333333</v>
      </c>
      <c r="I42" s="17" t="n">
        <f aca="false">IFERROR(INDEX('Shift Master'!$D$5:$D$16,MATCH(G42,'Shift Master'!$A$5:$A$16,0)),"")</f>
        <v>0.708333333333333</v>
      </c>
      <c r="J42" s="16" t="n">
        <f aca="false">IFERROR(INDEX('Shift Master'!$E$5:$E$16,MATCH(G42,'Shift Master'!$A$5:$A$16,0)),"")</f>
        <v>60</v>
      </c>
      <c r="K42" s="16" t="n">
        <f aca="false">IFERROR(INDEX('Shift Master'!$G$5:$G$16,MATCH(G42,'Shift Master'!$A$5:$A$16,0)),0)</f>
        <v>8</v>
      </c>
      <c r="L42" s="16" t="s">
        <v>228</v>
      </c>
      <c r="M42" s="16" t="s">
        <v>229</v>
      </c>
      <c r="N42" s="16" t="str">
        <f aca="false">IF(COUNTIFS('Staffing Coverage'!$A$5:$A$12,E42,'Staffing Coverage'!$B$5:$B$12,G42)=0,"",IF(COUNTIFS($A$5:$A$10004,A42,$E$5:$E$10004,E42,$G$5:$G$10004,G42)&lt;INDEX('Staffing Coverage'!$C$5:$C$12,MATCH(1,('Staffing Coverage'!$A$5:$A$12=E42)*('Staffing Coverage'!$B$5:$B$12=G42),0)),"SHORT","OK"))</f>
        <v>OK</v>
      </c>
    </row>
    <row r="43" customFormat="false" ht="15" hidden="false" customHeight="false" outlineLevel="0" collapsed="false">
      <c r="A43" s="15" t="n">
        <v>46297</v>
      </c>
      <c r="B43" s="16" t="str">
        <f aca="false">TEXT(A43,"ddd")</f>
        <v>Fri</v>
      </c>
      <c r="C43" s="10" t="s">
        <v>212</v>
      </c>
      <c r="D43" s="16" t="str">
        <f aca="false">IFERROR(INDEX('Staff Master'!$B$5:$B$24,MATCH(C43,'Staff Master'!$A$5:$A$24,0)),"")</f>
        <v>Hassan Baig</v>
      </c>
      <c r="E43" s="16" t="str">
        <f aca="false">IFERROR(INDEX('Staff Master'!$D$5:$D$24,MATCH(C43,'Staff Master'!$A$5:$A$24,0)),"")</f>
        <v>Facilities</v>
      </c>
      <c r="F43" s="16" t="str">
        <f aca="false">IFERROR(INDEX('Staff Master'!$E$5:$E$24,MATCH(C43,'Staff Master'!$A$5:$A$24,0)),"")</f>
        <v>Facility Manager</v>
      </c>
      <c r="G43" s="10" t="s">
        <v>97</v>
      </c>
      <c r="H43" s="17" t="n">
        <f aca="false">IFERROR(INDEX('Shift Master'!$C$5:$C$16,MATCH(G43,'Shift Master'!$A$5:$A$16,0)),"")</f>
        <v>0</v>
      </c>
      <c r="I43" s="17" t="n">
        <f aca="false">IFERROR(INDEX('Shift Master'!$D$5:$D$16,MATCH(G43,'Shift Master'!$A$5:$A$16,0)),"")</f>
        <v>0</v>
      </c>
      <c r="J43" s="16" t="n">
        <f aca="false">IFERROR(INDEX('Shift Master'!$E$5:$E$16,MATCH(G43,'Shift Master'!$A$5:$A$16,0)),"")</f>
        <v>0</v>
      </c>
      <c r="K43" s="16" t="n">
        <f aca="false">IFERROR(INDEX('Shift Master'!$G$5:$G$16,MATCH(G43,'Shift Master'!$A$5:$A$16,0)),0)</f>
        <v>0</v>
      </c>
      <c r="L43" s="16" t="s">
        <v>228</v>
      </c>
      <c r="M43" s="16" t="s">
        <v>229</v>
      </c>
      <c r="N43" s="16" t="str">
        <f aca="false">IF(COUNTIFS('Staffing Coverage'!$A$5:$A$12,E43,'Staffing Coverage'!$B$5:$B$12,G43)=0,"",IF(COUNTIFS($A$5:$A$10004,A43,$E$5:$E$10004,E43,$G$5:$G$10004,G43)&lt;INDEX('Staffing Coverage'!$C$5:$C$12,MATCH(1,('Staffing Coverage'!$A$5:$A$12=E43)*('Staffing Coverage'!$B$5:$B$12=G43),0)),"SHORT","OK"))</f>
        <v/>
      </c>
    </row>
    <row r="44" customFormat="false" ht="15" hidden="false" customHeight="false" outlineLevel="0" collapsed="false">
      <c r="A44" s="15" t="n">
        <v>46297</v>
      </c>
      <c r="B44" s="16" t="str">
        <f aca="false">TEXT(A44,"ddd")</f>
        <v>Fri</v>
      </c>
      <c r="C44" s="10" t="s">
        <v>178</v>
      </c>
      <c r="D44" s="16" t="str">
        <f aca="false">IFERROR(INDEX('Staff Master'!$B$5:$B$24,MATCH(C44,'Staff Master'!$A$5:$A$24,0)),"")</f>
        <v>Meera Pillai</v>
      </c>
      <c r="E44" s="16" t="str">
        <f aca="false">IFERROR(INDEX('Staff Master'!$D$5:$D$24,MATCH(C44,'Staff Master'!$A$5:$A$24,0)),"")</f>
        <v>HR</v>
      </c>
      <c r="F44" s="16" t="str">
        <f aca="false">IFERROR(INDEX('Staff Master'!$E$5:$E$24,MATCH(C44,'Staff Master'!$A$5:$A$24,0)),"")</f>
        <v>HR Executive</v>
      </c>
      <c r="G44" s="10" t="s">
        <v>90</v>
      </c>
      <c r="H44" s="17" t="n">
        <f aca="false">IFERROR(INDEX('Shift Master'!$C$5:$C$16,MATCH(G44,'Shift Master'!$A$5:$A$16,0)),"")</f>
        <v>0.375</v>
      </c>
      <c r="I44" s="17" t="n">
        <f aca="false">IFERROR(INDEX('Shift Master'!$D$5:$D$16,MATCH(G44,'Shift Master'!$A$5:$A$16,0)),"")</f>
        <v>0.75</v>
      </c>
      <c r="J44" s="16" t="n">
        <f aca="false">IFERROR(INDEX('Shift Master'!$E$5:$E$16,MATCH(G44,'Shift Master'!$A$5:$A$16,0)),"")</f>
        <v>60</v>
      </c>
      <c r="K44" s="16" t="n">
        <f aca="false">IFERROR(INDEX('Shift Master'!$G$5:$G$16,MATCH(G44,'Shift Master'!$A$5:$A$16,0)),0)</f>
        <v>8</v>
      </c>
      <c r="L44" s="16" t="s">
        <v>228</v>
      </c>
      <c r="M44" s="16" t="s">
        <v>229</v>
      </c>
      <c r="N44" s="16" t="str">
        <f aca="false">IF(COUNTIFS('Staffing Coverage'!$A$5:$A$12,E44,'Staffing Coverage'!$B$5:$B$12,G44)=0,"",IF(COUNTIFS($A$5:$A$10004,A44,$E$5:$E$10004,E44,$G$5:$G$10004,G44)&lt;INDEX('Staffing Coverage'!$C$5:$C$12,MATCH(1,('Staffing Coverage'!$A$5:$A$12=E44)*('Staffing Coverage'!$B$5:$B$12=G44),0)),"SHORT","OK"))</f>
        <v/>
      </c>
    </row>
    <row r="45" customFormat="false" ht="15" hidden="false" customHeight="false" outlineLevel="0" collapsed="false">
      <c r="A45" s="15" t="n">
        <v>46298</v>
      </c>
      <c r="B45" s="16" t="str">
        <f aca="false">TEXT(A45,"ddd")</f>
        <v>Sat</v>
      </c>
      <c r="C45" s="10" t="s">
        <v>128</v>
      </c>
      <c r="D45" s="16" t="str">
        <f aca="false">IFERROR(INDEX('Staff Master'!$B$5:$B$24,MATCH(C45,'Staff Master'!$A$5:$A$24,0)),"")</f>
        <v>Rashid Al Nuaimi</v>
      </c>
      <c r="E45" s="16" t="str">
        <f aca="false">IFERROR(INDEX('Staff Master'!$D$5:$D$24,MATCH(C45,'Staff Master'!$A$5:$A$24,0)),"")</f>
        <v>Management</v>
      </c>
      <c r="F45" s="16" t="str">
        <f aca="false">IFERROR(INDEX('Staff Master'!$E$5:$E$24,MATCH(C45,'Staff Master'!$A$5:$A$24,0)),"")</f>
        <v>CEO</v>
      </c>
      <c r="G45" s="10" t="s">
        <v>97</v>
      </c>
      <c r="H45" s="17" t="n">
        <f aca="false">IFERROR(INDEX('Shift Master'!$C$5:$C$16,MATCH(G45,'Shift Master'!$A$5:$A$16,0)),"")</f>
        <v>0</v>
      </c>
      <c r="I45" s="17" t="n">
        <f aca="false">IFERROR(INDEX('Shift Master'!$D$5:$D$16,MATCH(G45,'Shift Master'!$A$5:$A$16,0)),"")</f>
        <v>0</v>
      </c>
      <c r="J45" s="16" t="n">
        <f aca="false">IFERROR(INDEX('Shift Master'!$E$5:$E$16,MATCH(G45,'Shift Master'!$A$5:$A$16,0)),"")</f>
        <v>0</v>
      </c>
      <c r="K45" s="16" t="n">
        <f aca="false">IFERROR(INDEX('Shift Master'!$G$5:$G$16,MATCH(G45,'Shift Master'!$A$5:$A$16,0)),0)</f>
        <v>0</v>
      </c>
      <c r="L45" s="16" t="s">
        <v>228</v>
      </c>
      <c r="M45" s="16" t="s">
        <v>229</v>
      </c>
      <c r="N45" s="16" t="str">
        <f aca="false">IF(COUNTIFS('Staffing Coverage'!$A$5:$A$12,E45,'Staffing Coverage'!$B$5:$B$12,G45)=0,"",IF(COUNTIFS($A$5:$A$10004,A45,$E$5:$E$10004,E45,$G$5:$G$10004,G45)&lt;INDEX('Staffing Coverage'!$C$5:$C$12,MATCH(1,('Staffing Coverage'!$A$5:$A$12=E45)*('Staffing Coverage'!$B$5:$B$12=G45),0)),"SHORT","OK"))</f>
        <v/>
      </c>
    </row>
    <row r="46" customFormat="false" ht="15" hidden="false" customHeight="false" outlineLevel="0" collapsed="false">
      <c r="A46" s="15" t="n">
        <v>46298</v>
      </c>
      <c r="B46" s="16" t="str">
        <f aca="false">TEXT(A46,"ddd")</f>
        <v>Sat</v>
      </c>
      <c r="C46" s="10" t="s">
        <v>137</v>
      </c>
      <c r="D46" s="16" t="str">
        <f aca="false">IFERROR(INDEX('Staff Master'!$B$5:$B$24,MATCH(C46,'Staff Master'!$A$5:$A$24,0)),"")</f>
        <v>Dr. Sara Haddad</v>
      </c>
      <c r="E46" s="16" t="str">
        <f aca="false">IFERROR(INDEX('Staff Master'!$D$5:$D$24,MATCH(C46,'Staff Master'!$A$5:$A$24,0)),"")</f>
        <v>General Practice</v>
      </c>
      <c r="F46" s="16" t="str">
        <f aca="false">IFERROR(INDEX('Staff Master'!$E$5:$E$24,MATCH(C46,'Staff Master'!$A$5:$A$24,0)),"")</f>
        <v>Medical Director</v>
      </c>
      <c r="G46" s="10" t="s">
        <v>96</v>
      </c>
      <c r="H46" s="17" t="n">
        <f aca="false">IFERROR(INDEX('Shift Master'!$C$5:$C$16,MATCH(G46,'Shift Master'!$A$5:$A$16,0)),"")</f>
        <v>0.375</v>
      </c>
      <c r="I46" s="17" t="n">
        <f aca="false">IFERROR(INDEX('Shift Master'!$D$5:$D$16,MATCH(G46,'Shift Master'!$A$5:$A$16,0)),"")</f>
        <v>0.708333333333333</v>
      </c>
      <c r="J46" s="16" t="n">
        <f aca="false">IFERROR(INDEX('Shift Master'!$E$5:$E$16,MATCH(G46,'Shift Master'!$A$5:$A$16,0)),"")</f>
        <v>60</v>
      </c>
      <c r="K46" s="16" t="n">
        <f aca="false">IFERROR(INDEX('Shift Master'!$G$5:$G$16,MATCH(G46,'Shift Master'!$A$5:$A$16,0)),0)</f>
        <v>7</v>
      </c>
      <c r="L46" s="16" t="s">
        <v>228</v>
      </c>
      <c r="M46" s="16" t="s">
        <v>229</v>
      </c>
      <c r="N46" s="16" t="str">
        <f aca="false">IF(COUNTIFS('Staffing Coverage'!$A$5:$A$12,E46,'Staffing Coverage'!$B$5:$B$12,G46)=0,"",IF(COUNTIFS($A$5:$A$10004,A46,$E$5:$E$10004,E46,$G$5:$G$10004,G46)&lt;INDEX('Staffing Coverage'!$C$5:$C$12,MATCH(1,('Staffing Coverage'!$A$5:$A$12=E46)*('Staffing Coverage'!$B$5:$B$12=G46),0)),"SHORT","OK"))</f>
        <v/>
      </c>
    </row>
    <row r="47" customFormat="false" ht="15" hidden="false" customHeight="false" outlineLevel="0" collapsed="false">
      <c r="A47" s="15" t="n">
        <v>46298</v>
      </c>
      <c r="B47" s="16" t="str">
        <f aca="false">TEXT(A47,"ddd")</f>
        <v>Sat</v>
      </c>
      <c r="C47" s="10" t="s">
        <v>142</v>
      </c>
      <c r="D47" s="16" t="str">
        <f aca="false">IFERROR(INDEX('Staff Master'!$B$5:$B$24,MATCH(C47,'Staff Master'!$A$5:$A$24,0)),"")</f>
        <v>Dr. Omar Khalil</v>
      </c>
      <c r="E47" s="16" t="str">
        <f aca="false">IFERROR(INDEX('Staff Master'!$D$5:$D$24,MATCH(C47,'Staff Master'!$A$5:$A$24,0)),"")</f>
        <v>General Practice</v>
      </c>
      <c r="F47" s="16" t="str">
        <f aca="false">IFERROR(INDEX('Staff Master'!$E$5:$E$24,MATCH(C47,'Staff Master'!$A$5:$A$24,0)),"")</f>
        <v>Doctor</v>
      </c>
      <c r="G47" s="10" t="s">
        <v>97</v>
      </c>
      <c r="H47" s="17" t="n">
        <f aca="false">IFERROR(INDEX('Shift Master'!$C$5:$C$16,MATCH(G47,'Shift Master'!$A$5:$A$16,0)),"")</f>
        <v>0</v>
      </c>
      <c r="I47" s="17" t="n">
        <f aca="false">IFERROR(INDEX('Shift Master'!$D$5:$D$16,MATCH(G47,'Shift Master'!$A$5:$A$16,0)),"")</f>
        <v>0</v>
      </c>
      <c r="J47" s="16" t="n">
        <f aca="false">IFERROR(INDEX('Shift Master'!$E$5:$E$16,MATCH(G47,'Shift Master'!$A$5:$A$16,0)),"")</f>
        <v>0</v>
      </c>
      <c r="K47" s="16" t="n">
        <f aca="false">IFERROR(INDEX('Shift Master'!$G$5:$G$16,MATCH(G47,'Shift Master'!$A$5:$A$16,0)),0)</f>
        <v>0</v>
      </c>
      <c r="L47" s="16" t="s">
        <v>228</v>
      </c>
      <c r="M47" s="16" t="s">
        <v>229</v>
      </c>
      <c r="N47" s="16" t="str">
        <f aca="false">IF(COUNTIFS('Staffing Coverage'!$A$5:$A$12,E47,'Staffing Coverage'!$B$5:$B$12,G47)=0,"",IF(COUNTIFS($A$5:$A$10004,A47,$E$5:$E$10004,E47,$G$5:$G$10004,G47)&lt;INDEX('Staffing Coverage'!$C$5:$C$12,MATCH(1,('Staffing Coverage'!$A$5:$A$12=E47)*('Staffing Coverage'!$B$5:$B$12=G47),0)),"SHORT","OK"))</f>
        <v/>
      </c>
    </row>
    <row r="48" customFormat="false" ht="15" hidden="false" customHeight="false" outlineLevel="0" collapsed="false">
      <c r="A48" s="15" t="n">
        <v>46298</v>
      </c>
      <c r="B48" s="16" t="str">
        <f aca="false">TEXT(A48,"ddd")</f>
        <v>Sat</v>
      </c>
      <c r="C48" s="10" t="s">
        <v>146</v>
      </c>
      <c r="D48" s="16" t="str">
        <f aca="false">IFERROR(INDEX('Staff Master'!$B$5:$B$24,MATCH(C48,'Staff Master'!$A$5:$A$24,0)),"")</f>
        <v>Dr. Lina Abboud</v>
      </c>
      <c r="E48" s="16" t="str">
        <f aca="false">IFERROR(INDEX('Staff Master'!$D$5:$D$24,MATCH(C48,'Staff Master'!$A$5:$A$24,0)),"")</f>
        <v>Dental</v>
      </c>
      <c r="F48" s="16" t="str">
        <f aca="false">IFERROR(INDEX('Staff Master'!$E$5:$E$24,MATCH(C48,'Staff Master'!$A$5:$A$24,0)),"")</f>
        <v>Dentist</v>
      </c>
      <c r="G48" s="10" t="s">
        <v>96</v>
      </c>
      <c r="H48" s="17" t="n">
        <f aca="false">IFERROR(INDEX('Shift Master'!$C$5:$C$16,MATCH(G48,'Shift Master'!$A$5:$A$16,0)),"")</f>
        <v>0.375</v>
      </c>
      <c r="I48" s="17" t="n">
        <f aca="false">IFERROR(INDEX('Shift Master'!$D$5:$D$16,MATCH(G48,'Shift Master'!$A$5:$A$16,0)),"")</f>
        <v>0.708333333333333</v>
      </c>
      <c r="J48" s="16" t="n">
        <f aca="false">IFERROR(INDEX('Shift Master'!$E$5:$E$16,MATCH(G48,'Shift Master'!$A$5:$A$16,0)),"")</f>
        <v>60</v>
      </c>
      <c r="K48" s="16" t="n">
        <f aca="false">IFERROR(INDEX('Shift Master'!$G$5:$G$16,MATCH(G48,'Shift Master'!$A$5:$A$16,0)),0)</f>
        <v>7</v>
      </c>
      <c r="L48" s="16" t="s">
        <v>228</v>
      </c>
      <c r="M48" s="16" t="s">
        <v>229</v>
      </c>
      <c r="N48" s="16" t="str">
        <f aca="false">IF(COUNTIFS('Staffing Coverage'!$A$5:$A$12,E48,'Staffing Coverage'!$B$5:$B$12,G48)=0,"",IF(COUNTIFS($A$5:$A$10004,A48,$E$5:$E$10004,E48,$G$5:$G$10004,G48)&lt;INDEX('Staffing Coverage'!$C$5:$C$12,MATCH(1,('Staffing Coverage'!$A$5:$A$12=E48)*('Staffing Coverage'!$B$5:$B$12=G48),0)),"SHORT","OK"))</f>
        <v/>
      </c>
    </row>
    <row r="49" customFormat="false" ht="15" hidden="false" customHeight="false" outlineLevel="0" collapsed="false">
      <c r="A49" s="15" t="n">
        <v>46298</v>
      </c>
      <c r="B49" s="16" t="str">
        <f aca="false">TEXT(A49,"ddd")</f>
        <v>Sat</v>
      </c>
      <c r="C49" s="10" t="s">
        <v>150</v>
      </c>
      <c r="D49" s="16" t="str">
        <f aca="false">IFERROR(INDEX('Staff Master'!$B$5:$B$24,MATCH(C49,'Staff Master'!$A$5:$A$24,0)),"")</f>
        <v>Dr. Farah Idris</v>
      </c>
      <c r="E49" s="16" t="str">
        <f aca="false">IFERROR(INDEX('Staff Master'!$D$5:$D$24,MATCH(C49,'Staff Master'!$A$5:$A$24,0)),"")</f>
        <v>Dental</v>
      </c>
      <c r="F49" s="16" t="str">
        <f aca="false">IFERROR(INDEX('Staff Master'!$E$5:$E$24,MATCH(C49,'Staff Master'!$A$5:$A$24,0)),"")</f>
        <v>Dentist</v>
      </c>
      <c r="G49" s="10" t="s">
        <v>96</v>
      </c>
      <c r="H49" s="17" t="n">
        <f aca="false">IFERROR(INDEX('Shift Master'!$C$5:$C$16,MATCH(G49,'Shift Master'!$A$5:$A$16,0)),"")</f>
        <v>0.375</v>
      </c>
      <c r="I49" s="17" t="n">
        <f aca="false">IFERROR(INDEX('Shift Master'!$D$5:$D$16,MATCH(G49,'Shift Master'!$A$5:$A$16,0)),"")</f>
        <v>0.708333333333333</v>
      </c>
      <c r="J49" s="16" t="n">
        <f aca="false">IFERROR(INDEX('Shift Master'!$E$5:$E$16,MATCH(G49,'Shift Master'!$A$5:$A$16,0)),"")</f>
        <v>60</v>
      </c>
      <c r="K49" s="16" t="n">
        <f aca="false">IFERROR(INDEX('Shift Master'!$G$5:$G$16,MATCH(G49,'Shift Master'!$A$5:$A$16,0)),0)</f>
        <v>7</v>
      </c>
      <c r="L49" s="16" t="s">
        <v>228</v>
      </c>
      <c r="M49" s="16" t="s">
        <v>229</v>
      </c>
      <c r="N49" s="16" t="str">
        <f aca="false">IF(COUNTIFS('Staffing Coverage'!$A$5:$A$12,E49,'Staffing Coverage'!$B$5:$B$12,G49)=0,"",IF(COUNTIFS($A$5:$A$10004,A49,$E$5:$E$10004,E49,$G$5:$G$10004,G49)&lt;INDEX('Staffing Coverage'!$C$5:$C$12,MATCH(1,('Staffing Coverage'!$A$5:$A$12=E49)*('Staffing Coverage'!$B$5:$B$12=G49),0)),"SHORT","OK"))</f>
        <v/>
      </c>
    </row>
    <row r="50" customFormat="false" ht="15" hidden="false" customHeight="false" outlineLevel="0" collapsed="false">
      <c r="A50" s="15" t="n">
        <v>46298</v>
      </c>
      <c r="B50" s="16" t="str">
        <f aca="false">TEXT(A50,"ddd")</f>
        <v>Sat</v>
      </c>
      <c r="C50" s="10" t="s">
        <v>157</v>
      </c>
      <c r="D50" s="16" t="str">
        <f aca="false">IFERROR(INDEX('Staff Master'!$B$5:$B$24,MATCH(C50,'Staff Master'!$A$5:$A$24,0)),"")</f>
        <v>Dr. Youssef Nassar</v>
      </c>
      <c r="E50" s="16" t="str">
        <f aca="false">IFERROR(INDEX('Staff Master'!$D$5:$D$24,MATCH(C50,'Staff Master'!$A$5:$A$24,0)),"")</f>
        <v>General Practice</v>
      </c>
      <c r="F50" s="16" t="str">
        <f aca="false">IFERROR(INDEX('Staff Master'!$E$5:$E$24,MATCH(C50,'Staff Master'!$A$5:$A$24,0)),"")</f>
        <v>General Practitioner</v>
      </c>
      <c r="G50" s="10" t="s">
        <v>97</v>
      </c>
      <c r="H50" s="17" t="n">
        <f aca="false">IFERROR(INDEX('Shift Master'!$C$5:$C$16,MATCH(G50,'Shift Master'!$A$5:$A$16,0)),"")</f>
        <v>0</v>
      </c>
      <c r="I50" s="17" t="n">
        <f aca="false">IFERROR(INDEX('Shift Master'!$D$5:$D$16,MATCH(G50,'Shift Master'!$A$5:$A$16,0)),"")</f>
        <v>0</v>
      </c>
      <c r="J50" s="16" t="n">
        <f aca="false">IFERROR(INDEX('Shift Master'!$E$5:$E$16,MATCH(G50,'Shift Master'!$A$5:$A$16,0)),"")</f>
        <v>0</v>
      </c>
      <c r="K50" s="16" t="n">
        <f aca="false">IFERROR(INDEX('Shift Master'!$G$5:$G$16,MATCH(G50,'Shift Master'!$A$5:$A$16,0)),0)</f>
        <v>0</v>
      </c>
      <c r="L50" s="16" t="s">
        <v>228</v>
      </c>
      <c r="M50" s="16" t="s">
        <v>229</v>
      </c>
      <c r="N50" s="16" t="str">
        <f aca="false">IF(COUNTIFS('Staffing Coverage'!$A$5:$A$12,E50,'Staffing Coverage'!$B$5:$B$12,G50)=0,"",IF(COUNTIFS($A$5:$A$10004,A50,$E$5:$E$10004,E50,$G$5:$G$10004,G50)&lt;INDEX('Staffing Coverage'!$C$5:$C$12,MATCH(1,('Staffing Coverage'!$A$5:$A$12=E50)*('Staffing Coverage'!$B$5:$B$12=G50),0)),"SHORT","OK"))</f>
        <v/>
      </c>
    </row>
    <row r="51" customFormat="false" ht="15" hidden="false" customHeight="false" outlineLevel="0" collapsed="false">
      <c r="A51" s="15" t="n">
        <v>46298</v>
      </c>
      <c r="B51" s="16" t="str">
        <f aca="false">TEXT(A51,"ddd")</f>
        <v>Sat</v>
      </c>
      <c r="C51" s="10" t="s">
        <v>161</v>
      </c>
      <c r="D51" s="16" t="str">
        <f aca="false">IFERROR(INDEX('Staff Master'!$B$5:$B$24,MATCH(C51,'Staff Master'!$A$5:$A$24,0)),"")</f>
        <v>Grace Fernandez</v>
      </c>
      <c r="E51" s="16" t="str">
        <f aca="false">IFERROR(INDEX('Staff Master'!$D$5:$D$24,MATCH(C51,'Staff Master'!$A$5:$A$24,0)),"")</f>
        <v>Nursing</v>
      </c>
      <c r="F51" s="16" t="str">
        <f aca="false">IFERROR(INDEX('Staff Master'!$E$5:$E$24,MATCH(C51,'Staff Master'!$A$5:$A$24,0)),"")</f>
        <v>Nurse</v>
      </c>
      <c r="G51" s="10" t="s">
        <v>87</v>
      </c>
      <c r="H51" s="17" t="n">
        <f aca="false">IFERROR(INDEX('Shift Master'!$C$5:$C$16,MATCH(G51,'Shift Master'!$A$5:$A$16,0)),"")</f>
        <v>0.333333333333333</v>
      </c>
      <c r="I51" s="17" t="n">
        <f aca="false">IFERROR(INDEX('Shift Master'!$D$5:$D$16,MATCH(G51,'Shift Master'!$A$5:$A$16,0)),"")</f>
        <v>0.708333333333333</v>
      </c>
      <c r="J51" s="16" t="n">
        <f aca="false">IFERROR(INDEX('Shift Master'!$E$5:$E$16,MATCH(G51,'Shift Master'!$A$5:$A$16,0)),"")</f>
        <v>60</v>
      </c>
      <c r="K51" s="16" t="n">
        <f aca="false">IFERROR(INDEX('Shift Master'!$G$5:$G$16,MATCH(G51,'Shift Master'!$A$5:$A$16,0)),0)</f>
        <v>8</v>
      </c>
      <c r="L51" s="16" t="s">
        <v>228</v>
      </c>
      <c r="M51" s="16" t="s">
        <v>229</v>
      </c>
      <c r="N51" s="16" t="str">
        <f aca="false">IF(COUNTIFS('Staffing Coverage'!$A$5:$A$12,E51,'Staffing Coverage'!$B$5:$B$12,G51)=0,"",IF(COUNTIFS($A$5:$A$10004,A51,$E$5:$E$10004,E51,$G$5:$G$10004,G51)&lt;INDEX('Staffing Coverage'!$C$5:$C$12,MATCH(1,('Staffing Coverage'!$A$5:$A$12=E51)*('Staffing Coverage'!$B$5:$B$12=G51),0)),"SHORT","OK"))</f>
        <v>OK</v>
      </c>
    </row>
    <row r="52" customFormat="false" ht="15" hidden="false" customHeight="false" outlineLevel="0" collapsed="false">
      <c r="A52" s="15" t="n">
        <v>46298</v>
      </c>
      <c r="B52" s="16" t="str">
        <f aca="false">TEXT(A52,"ddd")</f>
        <v>Sat</v>
      </c>
      <c r="C52" s="10" t="s">
        <v>165</v>
      </c>
      <c r="D52" s="16" t="str">
        <f aca="false">IFERROR(INDEX('Staff Master'!$B$5:$B$24,MATCH(C52,'Staff Master'!$A$5:$A$24,0)),"")</f>
        <v>Priya Nair</v>
      </c>
      <c r="E52" s="16" t="str">
        <f aca="false">IFERROR(INDEX('Staff Master'!$D$5:$D$24,MATCH(C52,'Staff Master'!$A$5:$A$24,0)),"")</f>
        <v>Nursing</v>
      </c>
      <c r="F52" s="16" t="str">
        <f aca="false">IFERROR(INDEX('Staff Master'!$E$5:$E$24,MATCH(C52,'Staff Master'!$A$5:$A$24,0)),"")</f>
        <v>Nurse</v>
      </c>
      <c r="G52" s="10" t="s">
        <v>90</v>
      </c>
      <c r="H52" s="17" t="n">
        <f aca="false">IFERROR(INDEX('Shift Master'!$C$5:$C$16,MATCH(G52,'Shift Master'!$A$5:$A$16,0)),"")</f>
        <v>0.375</v>
      </c>
      <c r="I52" s="17" t="n">
        <f aca="false">IFERROR(INDEX('Shift Master'!$D$5:$D$16,MATCH(G52,'Shift Master'!$A$5:$A$16,0)),"")</f>
        <v>0.75</v>
      </c>
      <c r="J52" s="16" t="n">
        <f aca="false">IFERROR(INDEX('Shift Master'!$E$5:$E$16,MATCH(G52,'Shift Master'!$A$5:$A$16,0)),"")</f>
        <v>60</v>
      </c>
      <c r="K52" s="16" t="n">
        <f aca="false">IFERROR(INDEX('Shift Master'!$G$5:$G$16,MATCH(G52,'Shift Master'!$A$5:$A$16,0)),0)</f>
        <v>8</v>
      </c>
      <c r="L52" s="16" t="s">
        <v>228</v>
      </c>
      <c r="M52" s="16" t="s">
        <v>229</v>
      </c>
      <c r="N52" s="16" t="str">
        <f aca="false">IF(COUNTIFS('Staffing Coverage'!$A$5:$A$12,E52,'Staffing Coverage'!$B$5:$B$12,G52)=0,"",IF(COUNTIFS($A$5:$A$10004,A52,$E$5:$E$10004,E52,$G$5:$G$10004,G52)&lt;INDEX('Staffing Coverage'!$C$5:$C$12,MATCH(1,('Staffing Coverage'!$A$5:$A$12=E52)*('Staffing Coverage'!$B$5:$B$12=G52),0)),"SHORT","OK"))</f>
        <v>OK</v>
      </c>
    </row>
    <row r="53" customFormat="false" ht="15" hidden="false" customHeight="false" outlineLevel="0" collapsed="false">
      <c r="A53" s="15" t="n">
        <v>46298</v>
      </c>
      <c r="B53" s="16" t="str">
        <f aca="false">TEXT(A53,"ddd")</f>
        <v>Sat</v>
      </c>
      <c r="C53" s="10" t="s">
        <v>170</v>
      </c>
      <c r="D53" s="16" t="str">
        <f aca="false">IFERROR(INDEX('Staff Master'!$B$5:$B$24,MATCH(C53,'Staff Master'!$A$5:$A$24,0)),"")</f>
        <v>Maria Santos</v>
      </c>
      <c r="E53" s="16" t="str">
        <f aca="false">IFERROR(INDEX('Staff Master'!$D$5:$D$24,MATCH(C53,'Staff Master'!$A$5:$A$24,0)),"")</f>
        <v>Nursing</v>
      </c>
      <c r="F53" s="16" t="str">
        <f aca="false">IFERROR(INDEX('Staff Master'!$E$5:$E$24,MATCH(C53,'Staff Master'!$A$5:$A$24,0)),"")</f>
        <v>Nurse</v>
      </c>
      <c r="G53" s="10" t="s">
        <v>97</v>
      </c>
      <c r="H53" s="17" t="n">
        <f aca="false">IFERROR(INDEX('Shift Master'!$C$5:$C$16,MATCH(G53,'Shift Master'!$A$5:$A$16,0)),"")</f>
        <v>0</v>
      </c>
      <c r="I53" s="17" t="n">
        <f aca="false">IFERROR(INDEX('Shift Master'!$D$5:$D$16,MATCH(G53,'Shift Master'!$A$5:$A$16,0)),"")</f>
        <v>0</v>
      </c>
      <c r="J53" s="16" t="n">
        <f aca="false">IFERROR(INDEX('Shift Master'!$E$5:$E$16,MATCH(G53,'Shift Master'!$A$5:$A$16,0)),"")</f>
        <v>0</v>
      </c>
      <c r="K53" s="16" t="n">
        <f aca="false">IFERROR(INDEX('Shift Master'!$G$5:$G$16,MATCH(G53,'Shift Master'!$A$5:$A$16,0)),0)</f>
        <v>0</v>
      </c>
      <c r="L53" s="16" t="s">
        <v>228</v>
      </c>
      <c r="M53" s="16" t="s">
        <v>229</v>
      </c>
      <c r="N53" s="16" t="str">
        <f aca="false">IF(COUNTIFS('Staffing Coverage'!$A$5:$A$12,E53,'Staffing Coverage'!$B$5:$B$12,G53)=0,"",IF(COUNTIFS($A$5:$A$10004,A53,$E$5:$E$10004,E53,$G$5:$G$10004,G53)&lt;INDEX('Staffing Coverage'!$C$5:$C$12,MATCH(1,('Staffing Coverage'!$A$5:$A$12=E53)*('Staffing Coverage'!$B$5:$B$12=G53),0)),"SHORT","OK"))</f>
        <v/>
      </c>
    </row>
    <row r="54" customFormat="false" ht="15" hidden="false" customHeight="false" outlineLevel="0" collapsed="false">
      <c r="A54" s="15" t="n">
        <v>46298</v>
      </c>
      <c r="B54" s="16" t="str">
        <f aca="false">TEXT(A54,"ddd")</f>
        <v>Sat</v>
      </c>
      <c r="C54" s="10" t="s">
        <v>174</v>
      </c>
      <c r="D54" s="16" t="str">
        <f aca="false">IFERROR(INDEX('Staff Master'!$B$5:$B$24,MATCH(C54,'Staff Master'!$A$5:$A$24,0)),"")</f>
        <v>Aisha Al Shamsi</v>
      </c>
      <c r="E54" s="16" t="str">
        <f aca="false">IFERROR(INDEX('Staff Master'!$D$5:$D$24,MATCH(C54,'Staff Master'!$A$5:$A$24,0)),"")</f>
        <v>Reception</v>
      </c>
      <c r="F54" s="16" t="str">
        <f aca="false">IFERROR(INDEX('Staff Master'!$E$5:$E$24,MATCH(C54,'Staff Master'!$A$5:$A$24,0)),"")</f>
        <v>Receptionist</v>
      </c>
      <c r="G54" s="10" t="s">
        <v>87</v>
      </c>
      <c r="H54" s="17" t="n">
        <f aca="false">IFERROR(INDEX('Shift Master'!$C$5:$C$16,MATCH(G54,'Shift Master'!$A$5:$A$16,0)),"")</f>
        <v>0.333333333333333</v>
      </c>
      <c r="I54" s="17" t="n">
        <f aca="false">IFERROR(INDEX('Shift Master'!$D$5:$D$16,MATCH(G54,'Shift Master'!$A$5:$A$16,0)),"")</f>
        <v>0.708333333333333</v>
      </c>
      <c r="J54" s="16" t="n">
        <f aca="false">IFERROR(INDEX('Shift Master'!$E$5:$E$16,MATCH(G54,'Shift Master'!$A$5:$A$16,0)),"")</f>
        <v>60</v>
      </c>
      <c r="K54" s="16" t="n">
        <f aca="false">IFERROR(INDEX('Shift Master'!$G$5:$G$16,MATCH(G54,'Shift Master'!$A$5:$A$16,0)),0)</f>
        <v>8</v>
      </c>
      <c r="L54" s="16" t="s">
        <v>228</v>
      </c>
      <c r="M54" s="16" t="s">
        <v>229</v>
      </c>
      <c r="N54" s="16" t="str">
        <f aca="false">IF(COUNTIFS('Staffing Coverage'!$A$5:$A$12,E54,'Staffing Coverage'!$B$5:$B$12,G54)=0,"",IF(COUNTIFS($A$5:$A$10004,A54,$E$5:$E$10004,E54,$G$5:$G$10004,G54)&lt;INDEX('Staffing Coverage'!$C$5:$C$12,MATCH(1,('Staffing Coverage'!$A$5:$A$12=E54)*('Staffing Coverage'!$B$5:$B$12=G54),0)),"SHORT","OK"))</f>
        <v>SHORT</v>
      </c>
    </row>
    <row r="55" customFormat="false" ht="15" hidden="false" customHeight="false" outlineLevel="0" collapsed="false">
      <c r="A55" s="15" t="n">
        <v>46298</v>
      </c>
      <c r="B55" s="16" t="str">
        <f aca="false">TEXT(A55,"ddd")</f>
        <v>Sat</v>
      </c>
      <c r="C55" s="10" t="s">
        <v>179</v>
      </c>
      <c r="D55" s="16" t="str">
        <f aca="false">IFERROR(INDEX('Staff Master'!$B$5:$B$24,MATCH(C55,'Staff Master'!$A$5:$A$24,0)),"")</f>
        <v>John Dsouza</v>
      </c>
      <c r="E55" s="16" t="str">
        <f aca="false">IFERROR(INDEX('Staff Master'!$D$5:$D$24,MATCH(C55,'Staff Master'!$A$5:$A$24,0)),"")</f>
        <v>Reception</v>
      </c>
      <c r="F55" s="16" t="str">
        <f aca="false">IFERROR(INDEX('Staff Master'!$E$5:$E$24,MATCH(C55,'Staff Master'!$A$5:$A$24,0)),"")</f>
        <v>Receptionist</v>
      </c>
      <c r="G55" s="10" t="s">
        <v>90</v>
      </c>
      <c r="H55" s="17" t="n">
        <f aca="false">IFERROR(INDEX('Shift Master'!$C$5:$C$16,MATCH(G55,'Shift Master'!$A$5:$A$16,0)),"")</f>
        <v>0.375</v>
      </c>
      <c r="I55" s="17" t="n">
        <f aca="false">IFERROR(INDEX('Shift Master'!$D$5:$D$16,MATCH(G55,'Shift Master'!$A$5:$A$16,0)),"")</f>
        <v>0.75</v>
      </c>
      <c r="J55" s="16" t="n">
        <f aca="false">IFERROR(INDEX('Shift Master'!$E$5:$E$16,MATCH(G55,'Shift Master'!$A$5:$A$16,0)),"")</f>
        <v>60</v>
      </c>
      <c r="K55" s="16" t="n">
        <f aca="false">IFERROR(INDEX('Shift Master'!$G$5:$G$16,MATCH(G55,'Shift Master'!$A$5:$A$16,0)),0)</f>
        <v>8</v>
      </c>
      <c r="L55" s="16" t="s">
        <v>228</v>
      </c>
      <c r="M55" s="16" t="s">
        <v>229</v>
      </c>
      <c r="N55" s="16" t="str">
        <f aca="false">IF(COUNTIFS('Staffing Coverage'!$A$5:$A$12,E55,'Staffing Coverage'!$B$5:$B$12,G55)=0,"",IF(COUNTIFS($A$5:$A$10004,A55,$E$5:$E$10004,E55,$G$5:$G$10004,G55)&lt;INDEX('Staffing Coverage'!$C$5:$C$12,MATCH(1,('Staffing Coverage'!$A$5:$A$12=E55)*('Staffing Coverage'!$B$5:$B$12=G55),0)),"SHORT","OK"))</f>
        <v>SHORT</v>
      </c>
    </row>
    <row r="56" customFormat="false" ht="15" hidden="false" customHeight="false" outlineLevel="0" collapsed="false">
      <c r="A56" s="15" t="n">
        <v>46298</v>
      </c>
      <c r="B56" s="16" t="str">
        <f aca="false">TEXT(A56,"ddd")</f>
        <v>Sat</v>
      </c>
      <c r="C56" s="10" t="s">
        <v>184</v>
      </c>
      <c r="D56" s="16" t="str">
        <f aca="false">IFERROR(INDEX('Staff Master'!$B$5:$B$24,MATCH(C56,'Staff Master'!$A$5:$A$24,0)),"")</f>
        <v>Fatima Zahra</v>
      </c>
      <c r="E56" s="16" t="str">
        <f aca="false">IFERROR(INDEX('Staff Master'!$D$5:$D$24,MATCH(C56,'Staff Master'!$A$5:$A$24,0)),"")</f>
        <v>Reception</v>
      </c>
      <c r="F56" s="16" t="str">
        <f aca="false">IFERROR(INDEX('Staff Master'!$E$5:$E$24,MATCH(C56,'Staff Master'!$A$5:$A$24,0)),"")</f>
        <v>Receptionist</v>
      </c>
      <c r="G56" s="10" t="s">
        <v>97</v>
      </c>
      <c r="H56" s="17" t="n">
        <f aca="false">IFERROR(INDEX('Shift Master'!$C$5:$C$16,MATCH(G56,'Shift Master'!$A$5:$A$16,0)),"")</f>
        <v>0</v>
      </c>
      <c r="I56" s="17" t="n">
        <f aca="false">IFERROR(INDEX('Shift Master'!$D$5:$D$16,MATCH(G56,'Shift Master'!$A$5:$A$16,0)),"")</f>
        <v>0</v>
      </c>
      <c r="J56" s="16" t="n">
        <f aca="false">IFERROR(INDEX('Shift Master'!$E$5:$E$16,MATCH(G56,'Shift Master'!$A$5:$A$16,0)),"")</f>
        <v>0</v>
      </c>
      <c r="K56" s="16" t="n">
        <f aca="false">IFERROR(INDEX('Shift Master'!$G$5:$G$16,MATCH(G56,'Shift Master'!$A$5:$A$16,0)),0)</f>
        <v>0</v>
      </c>
      <c r="L56" s="16" t="s">
        <v>228</v>
      </c>
      <c r="M56" s="16" t="s">
        <v>229</v>
      </c>
      <c r="N56" s="16" t="str">
        <f aca="false">IF(COUNTIFS('Staffing Coverage'!$A$5:$A$12,E56,'Staffing Coverage'!$B$5:$B$12,G56)=0,"",IF(COUNTIFS($A$5:$A$10004,A56,$E$5:$E$10004,E56,$G$5:$G$10004,G56)&lt;INDEX('Staffing Coverage'!$C$5:$C$12,MATCH(1,('Staffing Coverage'!$A$5:$A$12=E56)*('Staffing Coverage'!$B$5:$B$12=G56),0)),"SHORT","OK"))</f>
        <v/>
      </c>
    </row>
    <row r="57" customFormat="false" ht="15" hidden="false" customHeight="false" outlineLevel="0" collapsed="false">
      <c r="A57" s="15" t="n">
        <v>46298</v>
      </c>
      <c r="B57" s="16" t="str">
        <f aca="false">TEXT(A57,"ddd")</f>
        <v>Sat</v>
      </c>
      <c r="C57" s="10" t="s">
        <v>188</v>
      </c>
      <c r="D57" s="16" t="str">
        <f aca="false">IFERROR(INDEX('Staff Master'!$B$5:$B$24,MATCH(C57,'Staff Master'!$A$5:$A$24,0)),"")</f>
        <v>Ana Reyes</v>
      </c>
      <c r="E57" s="16" t="str">
        <f aca="false">IFERROR(INDEX('Staff Master'!$D$5:$D$24,MATCH(C57,'Staff Master'!$A$5:$A$24,0)),"")</f>
        <v>Dental</v>
      </c>
      <c r="F57" s="16" t="str">
        <f aca="false">IFERROR(INDEX('Staff Master'!$E$5:$E$24,MATCH(C57,'Staff Master'!$A$5:$A$24,0)),"")</f>
        <v>Dental Assistant</v>
      </c>
      <c r="G57" s="10" t="s">
        <v>87</v>
      </c>
      <c r="H57" s="17" t="n">
        <f aca="false">IFERROR(INDEX('Shift Master'!$C$5:$C$16,MATCH(G57,'Shift Master'!$A$5:$A$16,0)),"")</f>
        <v>0.333333333333333</v>
      </c>
      <c r="I57" s="17" t="n">
        <f aca="false">IFERROR(INDEX('Shift Master'!$D$5:$D$16,MATCH(G57,'Shift Master'!$A$5:$A$16,0)),"")</f>
        <v>0.708333333333333</v>
      </c>
      <c r="J57" s="16" t="n">
        <f aca="false">IFERROR(INDEX('Shift Master'!$E$5:$E$16,MATCH(G57,'Shift Master'!$A$5:$A$16,0)),"")</f>
        <v>60</v>
      </c>
      <c r="K57" s="16" t="n">
        <f aca="false">IFERROR(INDEX('Shift Master'!$G$5:$G$16,MATCH(G57,'Shift Master'!$A$5:$A$16,0)),0)</f>
        <v>8</v>
      </c>
      <c r="L57" s="16" t="s">
        <v>228</v>
      </c>
      <c r="M57" s="16" t="s">
        <v>229</v>
      </c>
      <c r="N57" s="16" t="str">
        <f aca="false">IF(COUNTIFS('Staffing Coverage'!$A$5:$A$12,E57,'Staffing Coverage'!$B$5:$B$12,G57)=0,"",IF(COUNTIFS($A$5:$A$10004,A57,$E$5:$E$10004,E57,$G$5:$G$10004,G57)&lt;INDEX('Staffing Coverage'!$C$5:$C$12,MATCH(1,('Staffing Coverage'!$A$5:$A$12=E57)*('Staffing Coverage'!$B$5:$B$12=G57),0)),"SHORT","OK"))</f>
        <v>OK</v>
      </c>
    </row>
    <row r="58" customFormat="false" ht="15" hidden="false" customHeight="false" outlineLevel="0" collapsed="false">
      <c r="A58" s="15" t="n">
        <v>46298</v>
      </c>
      <c r="B58" s="16" t="str">
        <f aca="false">TEXT(A58,"ddd")</f>
        <v>Sat</v>
      </c>
      <c r="C58" s="10" t="s">
        <v>192</v>
      </c>
      <c r="D58" s="16" t="str">
        <f aca="false">IFERROR(INDEX('Staff Master'!$B$5:$B$24,MATCH(C58,'Staff Master'!$A$5:$A$24,0)),"")</f>
        <v>Noor Hassan</v>
      </c>
      <c r="E58" s="16" t="str">
        <f aca="false">IFERROR(INDEX('Staff Master'!$D$5:$D$24,MATCH(C58,'Staff Master'!$A$5:$A$24,0)),"")</f>
        <v>Dental</v>
      </c>
      <c r="F58" s="16" t="str">
        <f aca="false">IFERROR(INDEX('Staff Master'!$E$5:$E$24,MATCH(C58,'Staff Master'!$A$5:$A$24,0)),"")</f>
        <v>Dental Assistant</v>
      </c>
      <c r="G58" s="10" t="s">
        <v>97</v>
      </c>
      <c r="H58" s="17" t="n">
        <f aca="false">IFERROR(INDEX('Shift Master'!$C$5:$C$16,MATCH(G58,'Shift Master'!$A$5:$A$16,0)),"")</f>
        <v>0</v>
      </c>
      <c r="I58" s="17" t="n">
        <f aca="false">IFERROR(INDEX('Shift Master'!$D$5:$D$16,MATCH(G58,'Shift Master'!$A$5:$A$16,0)),"")</f>
        <v>0</v>
      </c>
      <c r="J58" s="16" t="n">
        <f aca="false">IFERROR(INDEX('Shift Master'!$E$5:$E$16,MATCH(G58,'Shift Master'!$A$5:$A$16,0)),"")</f>
        <v>0</v>
      </c>
      <c r="K58" s="16" t="n">
        <f aca="false">IFERROR(INDEX('Shift Master'!$G$5:$G$16,MATCH(G58,'Shift Master'!$A$5:$A$16,0)),0)</f>
        <v>0</v>
      </c>
      <c r="L58" s="16" t="s">
        <v>228</v>
      </c>
      <c r="M58" s="16" t="s">
        <v>229</v>
      </c>
      <c r="N58" s="16" t="str">
        <f aca="false">IF(COUNTIFS('Staffing Coverage'!$A$5:$A$12,E58,'Staffing Coverage'!$B$5:$B$12,G58)=0,"",IF(COUNTIFS($A$5:$A$10004,A58,$E$5:$E$10004,E58,$G$5:$G$10004,G58)&lt;INDEX('Staffing Coverage'!$C$5:$C$12,MATCH(1,('Staffing Coverage'!$A$5:$A$12=E58)*('Staffing Coverage'!$B$5:$B$12=G58),0)),"SHORT","OK"))</f>
        <v/>
      </c>
    </row>
    <row r="59" customFormat="false" ht="15" hidden="false" customHeight="false" outlineLevel="0" collapsed="false">
      <c r="A59" s="15" t="n">
        <v>46298</v>
      </c>
      <c r="B59" s="16" t="str">
        <f aca="false">TEXT(A59,"ddd")</f>
        <v>Sat</v>
      </c>
      <c r="C59" s="10" t="s">
        <v>196</v>
      </c>
      <c r="D59" s="16" t="str">
        <f aca="false">IFERROR(INDEX('Staff Master'!$B$5:$B$24,MATCH(C59,'Staff Master'!$A$5:$A$24,0)),"")</f>
        <v>Karan Mehta</v>
      </c>
      <c r="E59" s="16" t="str">
        <f aca="false">IFERROR(INDEX('Staff Master'!$D$5:$D$24,MATCH(C59,'Staff Master'!$A$5:$A$24,0)),"")</f>
        <v>Laser</v>
      </c>
      <c r="F59" s="16" t="str">
        <f aca="false">IFERROR(INDEX('Staff Master'!$E$5:$E$24,MATCH(C59,'Staff Master'!$A$5:$A$24,0)),"")</f>
        <v>Laser Technician</v>
      </c>
      <c r="G59" s="10" t="s">
        <v>90</v>
      </c>
      <c r="H59" s="17" t="n">
        <f aca="false">IFERROR(INDEX('Shift Master'!$C$5:$C$16,MATCH(G59,'Shift Master'!$A$5:$A$16,0)),"")</f>
        <v>0.375</v>
      </c>
      <c r="I59" s="17" t="n">
        <f aca="false">IFERROR(INDEX('Shift Master'!$D$5:$D$16,MATCH(G59,'Shift Master'!$A$5:$A$16,0)),"")</f>
        <v>0.75</v>
      </c>
      <c r="J59" s="16" t="n">
        <f aca="false">IFERROR(INDEX('Shift Master'!$E$5:$E$16,MATCH(G59,'Shift Master'!$A$5:$A$16,0)),"")</f>
        <v>60</v>
      </c>
      <c r="K59" s="16" t="n">
        <f aca="false">IFERROR(INDEX('Shift Master'!$G$5:$G$16,MATCH(G59,'Shift Master'!$A$5:$A$16,0)),0)</f>
        <v>8</v>
      </c>
      <c r="L59" s="16" t="s">
        <v>228</v>
      </c>
      <c r="M59" s="16" t="s">
        <v>229</v>
      </c>
      <c r="N59" s="16" t="str">
        <f aca="false">IF(COUNTIFS('Staffing Coverage'!$A$5:$A$12,E59,'Staffing Coverage'!$B$5:$B$12,G59)=0,"",IF(COUNTIFS($A$5:$A$10004,A59,$E$5:$E$10004,E59,$G$5:$G$10004,G59)&lt;INDEX('Staffing Coverage'!$C$5:$C$12,MATCH(1,('Staffing Coverage'!$A$5:$A$12=E59)*('Staffing Coverage'!$B$5:$B$12=G59),0)),"SHORT","OK"))</f>
        <v/>
      </c>
    </row>
    <row r="60" customFormat="false" ht="15" hidden="false" customHeight="false" outlineLevel="0" collapsed="false">
      <c r="A60" s="15" t="n">
        <v>46298</v>
      </c>
      <c r="B60" s="16" t="str">
        <f aca="false">TEXT(A60,"ddd")</f>
        <v>Sat</v>
      </c>
      <c r="C60" s="10" t="s">
        <v>200</v>
      </c>
      <c r="D60" s="16" t="str">
        <f aca="false">IFERROR(INDEX('Staff Master'!$B$5:$B$24,MATCH(C60,'Staff Master'!$A$5:$A$24,0)),"")</f>
        <v>Imran Sheikh</v>
      </c>
      <c r="E60" s="16" t="str">
        <f aca="false">IFERROR(INDEX('Staff Master'!$D$5:$D$24,MATCH(C60,'Staff Master'!$A$5:$A$24,0)),"")</f>
        <v>Dental Laboratory</v>
      </c>
      <c r="F60" s="16" t="str">
        <f aca="false">IFERROR(INDEX('Staff Master'!$E$5:$E$24,MATCH(C60,'Staff Master'!$A$5:$A$24,0)),"")</f>
        <v>Dental Technician</v>
      </c>
      <c r="G60" s="10" t="s">
        <v>97</v>
      </c>
      <c r="H60" s="17" t="n">
        <f aca="false">IFERROR(INDEX('Shift Master'!$C$5:$C$16,MATCH(G60,'Shift Master'!$A$5:$A$16,0)),"")</f>
        <v>0</v>
      </c>
      <c r="I60" s="17" t="n">
        <f aca="false">IFERROR(INDEX('Shift Master'!$D$5:$D$16,MATCH(G60,'Shift Master'!$A$5:$A$16,0)),"")</f>
        <v>0</v>
      </c>
      <c r="J60" s="16" t="n">
        <f aca="false">IFERROR(INDEX('Shift Master'!$E$5:$E$16,MATCH(G60,'Shift Master'!$A$5:$A$16,0)),"")</f>
        <v>0</v>
      </c>
      <c r="K60" s="16" t="n">
        <f aca="false">IFERROR(INDEX('Shift Master'!$G$5:$G$16,MATCH(G60,'Shift Master'!$A$5:$A$16,0)),0)</f>
        <v>0</v>
      </c>
      <c r="L60" s="16" t="s">
        <v>228</v>
      </c>
      <c r="M60" s="16" t="s">
        <v>229</v>
      </c>
      <c r="N60" s="16" t="str">
        <f aca="false">IF(COUNTIFS('Staffing Coverage'!$A$5:$A$12,E60,'Staffing Coverage'!$B$5:$B$12,G60)=0,"",IF(COUNTIFS($A$5:$A$10004,A60,$E$5:$E$10004,E60,$G$5:$G$10004,G60)&lt;INDEX('Staffing Coverage'!$C$5:$C$12,MATCH(1,('Staffing Coverage'!$A$5:$A$12=E60)*('Staffing Coverage'!$B$5:$B$12=G60),0)),"SHORT","OK"))</f>
        <v/>
      </c>
    </row>
    <row r="61" customFormat="false" ht="15" hidden="false" customHeight="false" outlineLevel="0" collapsed="false">
      <c r="A61" s="15" t="n">
        <v>46298</v>
      </c>
      <c r="B61" s="16" t="str">
        <f aca="false">TEXT(A61,"ddd")</f>
        <v>Sat</v>
      </c>
      <c r="C61" s="10" t="s">
        <v>204</v>
      </c>
      <c r="D61" s="16" t="str">
        <f aca="false">IFERROR(INDEX('Staff Master'!$B$5:$B$24,MATCH(C61,'Staff Master'!$A$5:$A$24,0)),"")</f>
        <v>Josephine Cruz</v>
      </c>
      <c r="E61" s="16" t="str">
        <f aca="false">IFERROR(INDEX('Staff Master'!$D$5:$D$24,MATCH(C61,'Staff Master'!$A$5:$A$24,0)),"")</f>
        <v>CSSD</v>
      </c>
      <c r="F61" s="16" t="str">
        <f aca="false">IFERROR(INDEX('Staff Master'!$E$5:$E$24,MATCH(C61,'Staff Master'!$A$5:$A$24,0)),"")</f>
        <v>CSSD Technician</v>
      </c>
      <c r="G61" s="10" t="s">
        <v>87</v>
      </c>
      <c r="H61" s="17" t="n">
        <f aca="false">IFERROR(INDEX('Shift Master'!$C$5:$C$16,MATCH(G61,'Shift Master'!$A$5:$A$16,0)),"")</f>
        <v>0.333333333333333</v>
      </c>
      <c r="I61" s="17" t="n">
        <f aca="false">IFERROR(INDEX('Shift Master'!$D$5:$D$16,MATCH(G61,'Shift Master'!$A$5:$A$16,0)),"")</f>
        <v>0.708333333333333</v>
      </c>
      <c r="J61" s="16" t="n">
        <f aca="false">IFERROR(INDEX('Shift Master'!$E$5:$E$16,MATCH(G61,'Shift Master'!$A$5:$A$16,0)),"")</f>
        <v>60</v>
      </c>
      <c r="K61" s="16" t="n">
        <f aca="false">IFERROR(INDEX('Shift Master'!$G$5:$G$16,MATCH(G61,'Shift Master'!$A$5:$A$16,0)),0)</f>
        <v>8</v>
      </c>
      <c r="L61" s="16" t="s">
        <v>228</v>
      </c>
      <c r="M61" s="16" t="s">
        <v>229</v>
      </c>
      <c r="N61" s="16" t="str">
        <f aca="false">IF(COUNTIFS('Staffing Coverage'!$A$5:$A$12,E61,'Staffing Coverage'!$B$5:$B$12,G61)=0,"",IF(COUNTIFS($A$5:$A$10004,A61,$E$5:$E$10004,E61,$G$5:$G$10004,G61)&lt;INDEX('Staffing Coverage'!$C$5:$C$12,MATCH(1,('Staffing Coverage'!$A$5:$A$12=E61)*('Staffing Coverage'!$B$5:$B$12=G61),0)),"SHORT","OK"))</f>
        <v>OK</v>
      </c>
    </row>
    <row r="62" customFormat="false" ht="15" hidden="false" customHeight="false" outlineLevel="0" collapsed="false">
      <c r="A62" s="15" t="n">
        <v>46298</v>
      </c>
      <c r="B62" s="16" t="str">
        <f aca="false">TEXT(A62,"ddd")</f>
        <v>Sat</v>
      </c>
      <c r="C62" s="10" t="s">
        <v>208</v>
      </c>
      <c r="D62" s="16" t="str">
        <f aca="false">IFERROR(INDEX('Staff Master'!$B$5:$B$24,MATCH(C62,'Staff Master'!$A$5:$A$24,0)),"")</f>
        <v>Rosalyn Tan</v>
      </c>
      <c r="E62" s="16" t="str">
        <f aca="false">IFERROR(INDEX('Staff Master'!$D$5:$D$24,MATCH(C62,'Staff Master'!$A$5:$A$24,0)),"")</f>
        <v>Cleaning</v>
      </c>
      <c r="F62" s="16" t="str">
        <f aca="false">IFERROR(INDEX('Staff Master'!$E$5:$E$24,MATCH(C62,'Staff Master'!$A$5:$A$24,0)),"")</f>
        <v>Cleaner</v>
      </c>
      <c r="G62" s="10" t="s">
        <v>97</v>
      </c>
      <c r="H62" s="17" t="n">
        <f aca="false">IFERROR(INDEX('Shift Master'!$C$5:$C$16,MATCH(G62,'Shift Master'!$A$5:$A$16,0)),"")</f>
        <v>0</v>
      </c>
      <c r="I62" s="17" t="n">
        <f aca="false">IFERROR(INDEX('Shift Master'!$D$5:$D$16,MATCH(G62,'Shift Master'!$A$5:$A$16,0)),"")</f>
        <v>0</v>
      </c>
      <c r="J62" s="16" t="n">
        <f aca="false">IFERROR(INDEX('Shift Master'!$E$5:$E$16,MATCH(G62,'Shift Master'!$A$5:$A$16,0)),"")</f>
        <v>0</v>
      </c>
      <c r="K62" s="16" t="n">
        <f aca="false">IFERROR(INDEX('Shift Master'!$G$5:$G$16,MATCH(G62,'Shift Master'!$A$5:$A$16,0)),0)</f>
        <v>0</v>
      </c>
      <c r="L62" s="16" t="s">
        <v>228</v>
      </c>
      <c r="M62" s="16" t="s">
        <v>229</v>
      </c>
      <c r="N62" s="16" t="str">
        <f aca="false">IF(COUNTIFS('Staffing Coverage'!$A$5:$A$12,E62,'Staffing Coverage'!$B$5:$B$12,G62)=0,"",IF(COUNTIFS($A$5:$A$10004,A62,$E$5:$E$10004,E62,$G$5:$G$10004,G62)&lt;INDEX('Staffing Coverage'!$C$5:$C$12,MATCH(1,('Staffing Coverage'!$A$5:$A$12=E62)*('Staffing Coverage'!$B$5:$B$12=G62),0)),"SHORT","OK"))</f>
        <v/>
      </c>
    </row>
    <row r="63" customFormat="false" ht="15" hidden="false" customHeight="false" outlineLevel="0" collapsed="false">
      <c r="A63" s="15" t="n">
        <v>46298</v>
      </c>
      <c r="B63" s="16" t="str">
        <f aca="false">TEXT(A63,"ddd")</f>
        <v>Sat</v>
      </c>
      <c r="C63" s="10" t="s">
        <v>212</v>
      </c>
      <c r="D63" s="16" t="str">
        <f aca="false">IFERROR(INDEX('Staff Master'!$B$5:$B$24,MATCH(C63,'Staff Master'!$A$5:$A$24,0)),"")</f>
        <v>Hassan Baig</v>
      </c>
      <c r="E63" s="16" t="str">
        <f aca="false">IFERROR(INDEX('Staff Master'!$D$5:$D$24,MATCH(C63,'Staff Master'!$A$5:$A$24,0)),"")</f>
        <v>Facilities</v>
      </c>
      <c r="F63" s="16" t="str">
        <f aca="false">IFERROR(INDEX('Staff Master'!$E$5:$E$24,MATCH(C63,'Staff Master'!$A$5:$A$24,0)),"")</f>
        <v>Facility Manager</v>
      </c>
      <c r="G63" s="10" t="s">
        <v>90</v>
      </c>
      <c r="H63" s="17" t="n">
        <f aca="false">IFERROR(INDEX('Shift Master'!$C$5:$C$16,MATCH(G63,'Shift Master'!$A$5:$A$16,0)),"")</f>
        <v>0.375</v>
      </c>
      <c r="I63" s="17" t="n">
        <f aca="false">IFERROR(INDEX('Shift Master'!$D$5:$D$16,MATCH(G63,'Shift Master'!$A$5:$A$16,0)),"")</f>
        <v>0.75</v>
      </c>
      <c r="J63" s="16" t="n">
        <f aca="false">IFERROR(INDEX('Shift Master'!$E$5:$E$16,MATCH(G63,'Shift Master'!$A$5:$A$16,0)),"")</f>
        <v>60</v>
      </c>
      <c r="K63" s="16" t="n">
        <f aca="false">IFERROR(INDEX('Shift Master'!$G$5:$G$16,MATCH(G63,'Shift Master'!$A$5:$A$16,0)),0)</f>
        <v>8</v>
      </c>
      <c r="L63" s="16" t="s">
        <v>228</v>
      </c>
      <c r="M63" s="16" t="s">
        <v>229</v>
      </c>
      <c r="N63" s="16" t="str">
        <f aca="false">IF(COUNTIFS('Staffing Coverage'!$A$5:$A$12,E63,'Staffing Coverage'!$B$5:$B$12,G63)=0,"",IF(COUNTIFS($A$5:$A$10004,A63,$E$5:$E$10004,E63,$G$5:$G$10004,G63)&lt;INDEX('Staffing Coverage'!$C$5:$C$12,MATCH(1,('Staffing Coverage'!$A$5:$A$12=E63)*('Staffing Coverage'!$B$5:$B$12=G63),0)),"SHORT","OK"))</f>
        <v/>
      </c>
    </row>
    <row r="64" customFormat="false" ht="15" hidden="false" customHeight="false" outlineLevel="0" collapsed="false">
      <c r="A64" s="15" t="n">
        <v>46298</v>
      </c>
      <c r="B64" s="16" t="str">
        <f aca="false">TEXT(A64,"ddd")</f>
        <v>Sat</v>
      </c>
      <c r="C64" s="10" t="s">
        <v>178</v>
      </c>
      <c r="D64" s="16" t="str">
        <f aca="false">IFERROR(INDEX('Staff Master'!$B$5:$B$24,MATCH(C64,'Staff Master'!$A$5:$A$24,0)),"")</f>
        <v>Meera Pillai</v>
      </c>
      <c r="E64" s="16" t="str">
        <f aca="false">IFERROR(INDEX('Staff Master'!$D$5:$D$24,MATCH(C64,'Staff Master'!$A$5:$A$24,0)),"")</f>
        <v>HR</v>
      </c>
      <c r="F64" s="16" t="str">
        <f aca="false">IFERROR(INDEX('Staff Master'!$E$5:$E$24,MATCH(C64,'Staff Master'!$A$5:$A$24,0)),"")</f>
        <v>HR Executive</v>
      </c>
      <c r="G64" s="10" t="s">
        <v>97</v>
      </c>
      <c r="H64" s="17" t="n">
        <f aca="false">IFERROR(INDEX('Shift Master'!$C$5:$C$16,MATCH(G64,'Shift Master'!$A$5:$A$16,0)),"")</f>
        <v>0</v>
      </c>
      <c r="I64" s="17" t="n">
        <f aca="false">IFERROR(INDEX('Shift Master'!$D$5:$D$16,MATCH(G64,'Shift Master'!$A$5:$A$16,0)),"")</f>
        <v>0</v>
      </c>
      <c r="J64" s="16" t="n">
        <f aca="false">IFERROR(INDEX('Shift Master'!$E$5:$E$16,MATCH(G64,'Shift Master'!$A$5:$A$16,0)),"")</f>
        <v>0</v>
      </c>
      <c r="K64" s="16" t="n">
        <f aca="false">IFERROR(INDEX('Shift Master'!$G$5:$G$16,MATCH(G64,'Shift Master'!$A$5:$A$16,0)),0)</f>
        <v>0</v>
      </c>
      <c r="L64" s="16" t="s">
        <v>228</v>
      </c>
      <c r="M64" s="16" t="s">
        <v>229</v>
      </c>
      <c r="N64" s="16" t="str">
        <f aca="false">IF(COUNTIFS('Staffing Coverage'!$A$5:$A$12,E64,'Staffing Coverage'!$B$5:$B$12,G64)=0,"",IF(COUNTIFS($A$5:$A$10004,A64,$E$5:$E$10004,E64,$G$5:$G$10004,G64)&lt;INDEX('Staffing Coverage'!$C$5:$C$12,MATCH(1,('Staffing Coverage'!$A$5:$A$12=E64)*('Staffing Coverage'!$B$5:$B$12=G64),0)),"SHORT","OK"))</f>
        <v/>
      </c>
    </row>
    <row r="65" customFormat="false" ht="15" hidden="false" customHeight="false" outlineLevel="0" collapsed="false">
      <c r="A65" s="15" t="n">
        <v>46299</v>
      </c>
      <c r="B65" s="16" t="str">
        <f aca="false">TEXT(A65,"ddd")</f>
        <v>Sun</v>
      </c>
      <c r="C65" s="10" t="s">
        <v>128</v>
      </c>
      <c r="D65" s="16" t="str">
        <f aca="false">IFERROR(INDEX('Staff Master'!$B$5:$B$24,MATCH(C65,'Staff Master'!$A$5:$A$24,0)),"")</f>
        <v>Rashid Al Nuaimi</v>
      </c>
      <c r="E65" s="16" t="str">
        <f aca="false">IFERROR(INDEX('Staff Master'!$D$5:$D$24,MATCH(C65,'Staff Master'!$A$5:$A$24,0)),"")</f>
        <v>Management</v>
      </c>
      <c r="F65" s="16" t="str">
        <f aca="false">IFERROR(INDEX('Staff Master'!$E$5:$E$24,MATCH(C65,'Staff Master'!$A$5:$A$24,0)),"")</f>
        <v>CEO</v>
      </c>
      <c r="G65" s="10" t="s">
        <v>90</v>
      </c>
      <c r="H65" s="17" t="n">
        <f aca="false">IFERROR(INDEX('Shift Master'!$C$5:$C$16,MATCH(G65,'Shift Master'!$A$5:$A$16,0)),"")</f>
        <v>0.375</v>
      </c>
      <c r="I65" s="17" t="n">
        <f aca="false">IFERROR(INDEX('Shift Master'!$D$5:$D$16,MATCH(G65,'Shift Master'!$A$5:$A$16,0)),"")</f>
        <v>0.75</v>
      </c>
      <c r="J65" s="16" t="n">
        <f aca="false">IFERROR(INDEX('Shift Master'!$E$5:$E$16,MATCH(G65,'Shift Master'!$A$5:$A$16,0)),"")</f>
        <v>60</v>
      </c>
      <c r="K65" s="16" t="n">
        <f aca="false">IFERROR(INDEX('Shift Master'!$G$5:$G$16,MATCH(G65,'Shift Master'!$A$5:$A$16,0)),0)</f>
        <v>8</v>
      </c>
      <c r="L65" s="16" t="s">
        <v>228</v>
      </c>
      <c r="M65" s="16" t="s">
        <v>229</v>
      </c>
      <c r="N65" s="16" t="str">
        <f aca="false">IF(COUNTIFS('Staffing Coverage'!$A$5:$A$12,E65,'Staffing Coverage'!$B$5:$B$12,G65)=0,"",IF(COUNTIFS($A$5:$A$10004,A65,$E$5:$E$10004,E65,$G$5:$G$10004,G65)&lt;INDEX('Staffing Coverage'!$C$5:$C$12,MATCH(1,('Staffing Coverage'!$A$5:$A$12=E65)*('Staffing Coverage'!$B$5:$B$12=G65),0)),"SHORT","OK"))</f>
        <v/>
      </c>
    </row>
    <row r="66" customFormat="false" ht="15" hidden="false" customHeight="false" outlineLevel="0" collapsed="false">
      <c r="A66" s="15" t="n">
        <v>46299</v>
      </c>
      <c r="B66" s="16" t="str">
        <f aca="false">TEXT(A66,"ddd")</f>
        <v>Sun</v>
      </c>
      <c r="C66" s="10" t="s">
        <v>137</v>
      </c>
      <c r="D66" s="16" t="str">
        <f aca="false">IFERROR(INDEX('Staff Master'!$B$5:$B$24,MATCH(C66,'Staff Master'!$A$5:$A$24,0)),"")</f>
        <v>Dr. Sara Haddad</v>
      </c>
      <c r="E66" s="16" t="str">
        <f aca="false">IFERROR(INDEX('Staff Master'!$D$5:$D$24,MATCH(C66,'Staff Master'!$A$5:$A$24,0)),"")</f>
        <v>General Practice</v>
      </c>
      <c r="F66" s="16" t="str">
        <f aca="false">IFERROR(INDEX('Staff Master'!$E$5:$E$24,MATCH(C66,'Staff Master'!$A$5:$A$24,0)),"")</f>
        <v>Medical Director</v>
      </c>
      <c r="G66" s="10" t="s">
        <v>96</v>
      </c>
      <c r="H66" s="17" t="n">
        <f aca="false">IFERROR(INDEX('Shift Master'!$C$5:$C$16,MATCH(G66,'Shift Master'!$A$5:$A$16,0)),"")</f>
        <v>0.375</v>
      </c>
      <c r="I66" s="17" t="n">
        <f aca="false">IFERROR(INDEX('Shift Master'!$D$5:$D$16,MATCH(G66,'Shift Master'!$A$5:$A$16,0)),"")</f>
        <v>0.708333333333333</v>
      </c>
      <c r="J66" s="16" t="n">
        <f aca="false">IFERROR(INDEX('Shift Master'!$E$5:$E$16,MATCH(G66,'Shift Master'!$A$5:$A$16,0)),"")</f>
        <v>60</v>
      </c>
      <c r="K66" s="16" t="n">
        <f aca="false">IFERROR(INDEX('Shift Master'!$G$5:$G$16,MATCH(G66,'Shift Master'!$A$5:$A$16,0)),0)</f>
        <v>7</v>
      </c>
      <c r="L66" s="16" t="s">
        <v>228</v>
      </c>
      <c r="M66" s="16" t="s">
        <v>229</v>
      </c>
      <c r="N66" s="16" t="str">
        <f aca="false">IF(COUNTIFS('Staffing Coverage'!$A$5:$A$12,E66,'Staffing Coverage'!$B$5:$B$12,G66)=0,"",IF(COUNTIFS($A$5:$A$10004,A66,$E$5:$E$10004,E66,$G$5:$G$10004,G66)&lt;INDEX('Staffing Coverage'!$C$5:$C$12,MATCH(1,('Staffing Coverage'!$A$5:$A$12=E66)*('Staffing Coverage'!$B$5:$B$12=G66),0)),"SHORT","OK"))</f>
        <v/>
      </c>
    </row>
    <row r="67" customFormat="false" ht="15" hidden="false" customHeight="false" outlineLevel="0" collapsed="false">
      <c r="A67" s="15" t="n">
        <v>46299</v>
      </c>
      <c r="B67" s="16" t="str">
        <f aca="false">TEXT(A67,"ddd")</f>
        <v>Sun</v>
      </c>
      <c r="C67" s="10" t="s">
        <v>142</v>
      </c>
      <c r="D67" s="16" t="str">
        <f aca="false">IFERROR(INDEX('Staff Master'!$B$5:$B$24,MATCH(C67,'Staff Master'!$A$5:$A$24,0)),"")</f>
        <v>Dr. Omar Khalil</v>
      </c>
      <c r="E67" s="16" t="str">
        <f aca="false">IFERROR(INDEX('Staff Master'!$D$5:$D$24,MATCH(C67,'Staff Master'!$A$5:$A$24,0)),"")</f>
        <v>General Practice</v>
      </c>
      <c r="F67" s="16" t="str">
        <f aca="false">IFERROR(INDEX('Staff Master'!$E$5:$E$24,MATCH(C67,'Staff Master'!$A$5:$A$24,0)),"")</f>
        <v>Doctor</v>
      </c>
      <c r="G67" s="10" t="s">
        <v>96</v>
      </c>
      <c r="H67" s="17" t="n">
        <f aca="false">IFERROR(INDEX('Shift Master'!$C$5:$C$16,MATCH(G67,'Shift Master'!$A$5:$A$16,0)),"")</f>
        <v>0.375</v>
      </c>
      <c r="I67" s="17" t="n">
        <f aca="false">IFERROR(INDEX('Shift Master'!$D$5:$D$16,MATCH(G67,'Shift Master'!$A$5:$A$16,0)),"")</f>
        <v>0.708333333333333</v>
      </c>
      <c r="J67" s="16" t="n">
        <f aca="false">IFERROR(INDEX('Shift Master'!$E$5:$E$16,MATCH(G67,'Shift Master'!$A$5:$A$16,0)),"")</f>
        <v>60</v>
      </c>
      <c r="K67" s="16" t="n">
        <f aca="false">IFERROR(INDEX('Shift Master'!$G$5:$G$16,MATCH(G67,'Shift Master'!$A$5:$A$16,0)),0)</f>
        <v>7</v>
      </c>
      <c r="L67" s="16" t="s">
        <v>228</v>
      </c>
      <c r="M67" s="16" t="s">
        <v>229</v>
      </c>
      <c r="N67" s="16" t="str">
        <f aca="false">IF(COUNTIFS('Staffing Coverage'!$A$5:$A$12,E67,'Staffing Coverage'!$B$5:$B$12,G67)=0,"",IF(COUNTIFS($A$5:$A$10004,A67,$E$5:$E$10004,E67,$G$5:$G$10004,G67)&lt;INDEX('Staffing Coverage'!$C$5:$C$12,MATCH(1,('Staffing Coverage'!$A$5:$A$12=E67)*('Staffing Coverage'!$B$5:$B$12=G67),0)),"SHORT","OK"))</f>
        <v/>
      </c>
    </row>
    <row r="68" customFormat="false" ht="15" hidden="false" customHeight="false" outlineLevel="0" collapsed="false">
      <c r="A68" s="15" t="n">
        <v>46299</v>
      </c>
      <c r="B68" s="16" t="str">
        <f aca="false">TEXT(A68,"ddd")</f>
        <v>Sun</v>
      </c>
      <c r="C68" s="10" t="s">
        <v>146</v>
      </c>
      <c r="D68" s="16" t="str">
        <f aca="false">IFERROR(INDEX('Staff Master'!$B$5:$B$24,MATCH(C68,'Staff Master'!$A$5:$A$24,0)),"")</f>
        <v>Dr. Lina Abboud</v>
      </c>
      <c r="E68" s="16" t="str">
        <f aca="false">IFERROR(INDEX('Staff Master'!$D$5:$D$24,MATCH(C68,'Staff Master'!$A$5:$A$24,0)),"")</f>
        <v>Dental</v>
      </c>
      <c r="F68" s="16" t="str">
        <f aca="false">IFERROR(INDEX('Staff Master'!$E$5:$E$24,MATCH(C68,'Staff Master'!$A$5:$A$24,0)),"")</f>
        <v>Dentist</v>
      </c>
      <c r="G68" s="10" t="s">
        <v>96</v>
      </c>
      <c r="H68" s="17" t="n">
        <f aca="false">IFERROR(INDEX('Shift Master'!$C$5:$C$16,MATCH(G68,'Shift Master'!$A$5:$A$16,0)),"")</f>
        <v>0.375</v>
      </c>
      <c r="I68" s="17" t="n">
        <f aca="false">IFERROR(INDEX('Shift Master'!$D$5:$D$16,MATCH(G68,'Shift Master'!$A$5:$A$16,0)),"")</f>
        <v>0.708333333333333</v>
      </c>
      <c r="J68" s="16" t="n">
        <f aca="false">IFERROR(INDEX('Shift Master'!$E$5:$E$16,MATCH(G68,'Shift Master'!$A$5:$A$16,0)),"")</f>
        <v>60</v>
      </c>
      <c r="K68" s="16" t="n">
        <f aca="false">IFERROR(INDEX('Shift Master'!$G$5:$G$16,MATCH(G68,'Shift Master'!$A$5:$A$16,0)),0)</f>
        <v>7</v>
      </c>
      <c r="L68" s="16" t="s">
        <v>228</v>
      </c>
      <c r="M68" s="16" t="s">
        <v>229</v>
      </c>
      <c r="N68" s="16" t="str">
        <f aca="false">IF(COUNTIFS('Staffing Coverage'!$A$5:$A$12,E68,'Staffing Coverage'!$B$5:$B$12,G68)=0,"",IF(COUNTIFS($A$5:$A$10004,A68,$E$5:$E$10004,E68,$G$5:$G$10004,G68)&lt;INDEX('Staffing Coverage'!$C$5:$C$12,MATCH(1,('Staffing Coverage'!$A$5:$A$12=E68)*('Staffing Coverage'!$B$5:$B$12=G68),0)),"SHORT","OK"))</f>
        <v/>
      </c>
    </row>
    <row r="69" customFormat="false" ht="15" hidden="false" customHeight="false" outlineLevel="0" collapsed="false">
      <c r="A69" s="15" t="n">
        <v>46299</v>
      </c>
      <c r="B69" s="16" t="str">
        <f aca="false">TEXT(A69,"ddd")</f>
        <v>Sun</v>
      </c>
      <c r="C69" s="10" t="s">
        <v>150</v>
      </c>
      <c r="D69" s="16" t="str">
        <f aca="false">IFERROR(INDEX('Staff Master'!$B$5:$B$24,MATCH(C69,'Staff Master'!$A$5:$A$24,0)),"")</f>
        <v>Dr. Farah Idris</v>
      </c>
      <c r="E69" s="16" t="str">
        <f aca="false">IFERROR(INDEX('Staff Master'!$D$5:$D$24,MATCH(C69,'Staff Master'!$A$5:$A$24,0)),"")</f>
        <v>Dental</v>
      </c>
      <c r="F69" s="16" t="str">
        <f aca="false">IFERROR(INDEX('Staff Master'!$E$5:$E$24,MATCH(C69,'Staff Master'!$A$5:$A$24,0)),"")</f>
        <v>Dentist</v>
      </c>
      <c r="G69" s="10" t="s">
        <v>97</v>
      </c>
      <c r="H69" s="17" t="n">
        <f aca="false">IFERROR(INDEX('Shift Master'!$C$5:$C$16,MATCH(G69,'Shift Master'!$A$5:$A$16,0)),"")</f>
        <v>0</v>
      </c>
      <c r="I69" s="17" t="n">
        <f aca="false">IFERROR(INDEX('Shift Master'!$D$5:$D$16,MATCH(G69,'Shift Master'!$A$5:$A$16,0)),"")</f>
        <v>0</v>
      </c>
      <c r="J69" s="16" t="n">
        <f aca="false">IFERROR(INDEX('Shift Master'!$E$5:$E$16,MATCH(G69,'Shift Master'!$A$5:$A$16,0)),"")</f>
        <v>0</v>
      </c>
      <c r="K69" s="16" t="n">
        <f aca="false">IFERROR(INDEX('Shift Master'!$G$5:$G$16,MATCH(G69,'Shift Master'!$A$5:$A$16,0)),0)</f>
        <v>0</v>
      </c>
      <c r="L69" s="16" t="s">
        <v>228</v>
      </c>
      <c r="M69" s="16" t="s">
        <v>229</v>
      </c>
      <c r="N69" s="16" t="str">
        <f aca="false">IF(COUNTIFS('Staffing Coverage'!$A$5:$A$12,E69,'Staffing Coverage'!$B$5:$B$12,G69)=0,"",IF(COUNTIFS($A$5:$A$10004,A69,$E$5:$E$10004,E69,$G$5:$G$10004,G69)&lt;INDEX('Staffing Coverage'!$C$5:$C$12,MATCH(1,('Staffing Coverage'!$A$5:$A$12=E69)*('Staffing Coverage'!$B$5:$B$12=G69),0)),"SHORT","OK"))</f>
        <v/>
      </c>
    </row>
    <row r="70" customFormat="false" ht="15" hidden="false" customHeight="false" outlineLevel="0" collapsed="false">
      <c r="A70" s="15" t="n">
        <v>46299</v>
      </c>
      <c r="B70" s="16" t="str">
        <f aca="false">TEXT(A70,"ddd")</f>
        <v>Sun</v>
      </c>
      <c r="C70" s="10" t="s">
        <v>157</v>
      </c>
      <c r="D70" s="16" t="str">
        <f aca="false">IFERROR(INDEX('Staff Master'!$B$5:$B$24,MATCH(C70,'Staff Master'!$A$5:$A$24,0)),"")</f>
        <v>Dr. Youssef Nassar</v>
      </c>
      <c r="E70" s="16" t="str">
        <f aca="false">IFERROR(INDEX('Staff Master'!$D$5:$D$24,MATCH(C70,'Staff Master'!$A$5:$A$24,0)),"")</f>
        <v>General Practice</v>
      </c>
      <c r="F70" s="16" t="str">
        <f aca="false">IFERROR(INDEX('Staff Master'!$E$5:$E$24,MATCH(C70,'Staff Master'!$A$5:$A$24,0)),"")</f>
        <v>General Practitioner</v>
      </c>
      <c r="G70" s="10" t="s">
        <v>96</v>
      </c>
      <c r="H70" s="17" t="n">
        <f aca="false">IFERROR(INDEX('Shift Master'!$C$5:$C$16,MATCH(G70,'Shift Master'!$A$5:$A$16,0)),"")</f>
        <v>0.375</v>
      </c>
      <c r="I70" s="17" t="n">
        <f aca="false">IFERROR(INDEX('Shift Master'!$D$5:$D$16,MATCH(G70,'Shift Master'!$A$5:$A$16,0)),"")</f>
        <v>0.708333333333333</v>
      </c>
      <c r="J70" s="16" t="n">
        <f aca="false">IFERROR(INDEX('Shift Master'!$E$5:$E$16,MATCH(G70,'Shift Master'!$A$5:$A$16,0)),"")</f>
        <v>60</v>
      </c>
      <c r="K70" s="16" t="n">
        <f aca="false">IFERROR(INDEX('Shift Master'!$G$5:$G$16,MATCH(G70,'Shift Master'!$A$5:$A$16,0)),0)</f>
        <v>7</v>
      </c>
      <c r="L70" s="16" t="s">
        <v>228</v>
      </c>
      <c r="M70" s="16" t="s">
        <v>229</v>
      </c>
      <c r="N70" s="16" t="str">
        <f aca="false">IF(COUNTIFS('Staffing Coverage'!$A$5:$A$12,E70,'Staffing Coverage'!$B$5:$B$12,G70)=0,"",IF(COUNTIFS($A$5:$A$10004,A70,$E$5:$E$10004,E70,$G$5:$G$10004,G70)&lt;INDEX('Staffing Coverage'!$C$5:$C$12,MATCH(1,('Staffing Coverage'!$A$5:$A$12=E70)*('Staffing Coverage'!$B$5:$B$12=G70),0)),"SHORT","OK"))</f>
        <v/>
      </c>
    </row>
    <row r="71" customFormat="false" ht="15" hidden="false" customHeight="false" outlineLevel="0" collapsed="false">
      <c r="A71" s="15" t="n">
        <v>46299</v>
      </c>
      <c r="B71" s="16" t="str">
        <f aca="false">TEXT(A71,"ddd")</f>
        <v>Sun</v>
      </c>
      <c r="C71" s="10" t="s">
        <v>161</v>
      </c>
      <c r="D71" s="16" t="str">
        <f aca="false">IFERROR(INDEX('Staff Master'!$B$5:$B$24,MATCH(C71,'Staff Master'!$A$5:$A$24,0)),"")</f>
        <v>Grace Fernandez</v>
      </c>
      <c r="E71" s="16" t="str">
        <f aca="false">IFERROR(INDEX('Staff Master'!$D$5:$D$24,MATCH(C71,'Staff Master'!$A$5:$A$24,0)),"")</f>
        <v>Nursing</v>
      </c>
      <c r="F71" s="16" t="str">
        <f aca="false">IFERROR(INDEX('Staff Master'!$E$5:$E$24,MATCH(C71,'Staff Master'!$A$5:$A$24,0)),"")</f>
        <v>Nurse</v>
      </c>
      <c r="G71" s="10" t="s">
        <v>97</v>
      </c>
      <c r="H71" s="17" t="n">
        <f aca="false">IFERROR(INDEX('Shift Master'!$C$5:$C$16,MATCH(G71,'Shift Master'!$A$5:$A$16,0)),"")</f>
        <v>0</v>
      </c>
      <c r="I71" s="17" t="n">
        <f aca="false">IFERROR(INDEX('Shift Master'!$D$5:$D$16,MATCH(G71,'Shift Master'!$A$5:$A$16,0)),"")</f>
        <v>0</v>
      </c>
      <c r="J71" s="16" t="n">
        <f aca="false">IFERROR(INDEX('Shift Master'!$E$5:$E$16,MATCH(G71,'Shift Master'!$A$5:$A$16,0)),"")</f>
        <v>0</v>
      </c>
      <c r="K71" s="16" t="n">
        <f aca="false">IFERROR(INDEX('Shift Master'!$G$5:$G$16,MATCH(G71,'Shift Master'!$A$5:$A$16,0)),0)</f>
        <v>0</v>
      </c>
      <c r="L71" s="16" t="s">
        <v>228</v>
      </c>
      <c r="M71" s="16" t="s">
        <v>229</v>
      </c>
      <c r="N71" s="16" t="str">
        <f aca="false">IF(COUNTIFS('Staffing Coverage'!$A$5:$A$12,E71,'Staffing Coverage'!$B$5:$B$12,G71)=0,"",IF(COUNTIFS($A$5:$A$10004,A71,$E$5:$E$10004,E71,$G$5:$G$10004,G71)&lt;INDEX('Staffing Coverage'!$C$5:$C$12,MATCH(1,('Staffing Coverage'!$A$5:$A$12=E71)*('Staffing Coverage'!$B$5:$B$12=G71),0)),"SHORT","OK"))</f>
        <v/>
      </c>
    </row>
    <row r="72" customFormat="false" ht="15" hidden="false" customHeight="false" outlineLevel="0" collapsed="false">
      <c r="A72" s="15" t="n">
        <v>46299</v>
      </c>
      <c r="B72" s="16" t="str">
        <f aca="false">TEXT(A72,"ddd")</f>
        <v>Sun</v>
      </c>
      <c r="C72" s="10" t="s">
        <v>165</v>
      </c>
      <c r="D72" s="16" t="str">
        <f aca="false">IFERROR(INDEX('Staff Master'!$B$5:$B$24,MATCH(C72,'Staff Master'!$A$5:$A$24,0)),"")</f>
        <v>Priya Nair</v>
      </c>
      <c r="E72" s="16" t="str">
        <f aca="false">IFERROR(INDEX('Staff Master'!$D$5:$D$24,MATCH(C72,'Staff Master'!$A$5:$A$24,0)),"")</f>
        <v>Nursing</v>
      </c>
      <c r="F72" s="16" t="str">
        <f aca="false">IFERROR(INDEX('Staff Master'!$E$5:$E$24,MATCH(C72,'Staff Master'!$A$5:$A$24,0)),"")</f>
        <v>Nurse</v>
      </c>
      <c r="G72" s="10" t="s">
        <v>90</v>
      </c>
      <c r="H72" s="17" t="n">
        <f aca="false">IFERROR(INDEX('Shift Master'!$C$5:$C$16,MATCH(G72,'Shift Master'!$A$5:$A$16,0)),"")</f>
        <v>0.375</v>
      </c>
      <c r="I72" s="17" t="n">
        <f aca="false">IFERROR(INDEX('Shift Master'!$D$5:$D$16,MATCH(G72,'Shift Master'!$A$5:$A$16,0)),"")</f>
        <v>0.75</v>
      </c>
      <c r="J72" s="16" t="n">
        <f aca="false">IFERROR(INDEX('Shift Master'!$E$5:$E$16,MATCH(G72,'Shift Master'!$A$5:$A$16,0)),"")</f>
        <v>60</v>
      </c>
      <c r="K72" s="16" t="n">
        <f aca="false">IFERROR(INDEX('Shift Master'!$G$5:$G$16,MATCH(G72,'Shift Master'!$A$5:$A$16,0)),0)</f>
        <v>8</v>
      </c>
      <c r="L72" s="16" t="s">
        <v>228</v>
      </c>
      <c r="M72" s="16" t="s">
        <v>229</v>
      </c>
      <c r="N72" s="16" t="str">
        <f aca="false">IF(COUNTIFS('Staffing Coverage'!$A$5:$A$12,E72,'Staffing Coverage'!$B$5:$B$12,G72)=0,"",IF(COUNTIFS($A$5:$A$10004,A72,$E$5:$E$10004,E72,$G$5:$G$10004,G72)&lt;INDEX('Staffing Coverage'!$C$5:$C$12,MATCH(1,('Staffing Coverage'!$A$5:$A$12=E72)*('Staffing Coverage'!$B$5:$B$12=G72),0)),"SHORT","OK"))</f>
        <v>OK</v>
      </c>
    </row>
    <row r="73" customFormat="false" ht="15" hidden="false" customHeight="false" outlineLevel="0" collapsed="false">
      <c r="A73" s="15" t="n">
        <v>46299</v>
      </c>
      <c r="B73" s="16" t="str">
        <f aca="false">TEXT(A73,"ddd")</f>
        <v>Sun</v>
      </c>
      <c r="C73" s="10" t="s">
        <v>170</v>
      </c>
      <c r="D73" s="16" t="str">
        <f aca="false">IFERROR(INDEX('Staff Master'!$B$5:$B$24,MATCH(C73,'Staff Master'!$A$5:$A$24,0)),"")</f>
        <v>Maria Santos</v>
      </c>
      <c r="E73" s="16" t="str">
        <f aca="false">IFERROR(INDEX('Staff Master'!$D$5:$D$24,MATCH(C73,'Staff Master'!$A$5:$A$24,0)),"")</f>
        <v>Nursing</v>
      </c>
      <c r="F73" s="16" t="str">
        <f aca="false">IFERROR(INDEX('Staff Master'!$E$5:$E$24,MATCH(C73,'Staff Master'!$A$5:$A$24,0)),"")</f>
        <v>Nurse</v>
      </c>
      <c r="G73" s="10" t="s">
        <v>94</v>
      </c>
      <c r="H73" s="17" t="n">
        <f aca="false">IFERROR(INDEX('Shift Master'!$C$5:$C$16,MATCH(G73,'Shift Master'!$A$5:$A$16,0)),"")</f>
        <v>0.541666666666667</v>
      </c>
      <c r="I73" s="17" t="n">
        <f aca="false">IFERROR(INDEX('Shift Master'!$D$5:$D$16,MATCH(G73,'Shift Master'!$A$5:$A$16,0)),"")</f>
        <v>0.916666666666667</v>
      </c>
      <c r="J73" s="16" t="n">
        <f aca="false">IFERROR(INDEX('Shift Master'!$E$5:$E$16,MATCH(G73,'Shift Master'!$A$5:$A$16,0)),"")</f>
        <v>60</v>
      </c>
      <c r="K73" s="16" t="n">
        <f aca="false">IFERROR(INDEX('Shift Master'!$G$5:$G$16,MATCH(G73,'Shift Master'!$A$5:$A$16,0)),0)</f>
        <v>8</v>
      </c>
      <c r="L73" s="16" t="s">
        <v>228</v>
      </c>
      <c r="M73" s="16" t="s">
        <v>229</v>
      </c>
      <c r="N73" s="16" t="str">
        <f aca="false">IF(COUNTIFS('Staffing Coverage'!$A$5:$A$12,E73,'Staffing Coverage'!$B$5:$B$12,G73)=0,"",IF(COUNTIFS($A$5:$A$10004,A73,$E$5:$E$10004,E73,$G$5:$G$10004,G73)&lt;INDEX('Staffing Coverage'!$C$5:$C$12,MATCH(1,('Staffing Coverage'!$A$5:$A$12=E73)*('Staffing Coverage'!$B$5:$B$12=G73),0)),"SHORT","OK"))</f>
        <v/>
      </c>
    </row>
    <row r="74" customFormat="false" ht="15" hidden="false" customHeight="false" outlineLevel="0" collapsed="false">
      <c r="A74" s="15" t="n">
        <v>46299</v>
      </c>
      <c r="B74" s="16" t="str">
        <f aca="false">TEXT(A74,"ddd")</f>
        <v>Sun</v>
      </c>
      <c r="C74" s="10" t="s">
        <v>174</v>
      </c>
      <c r="D74" s="16" t="str">
        <f aca="false">IFERROR(INDEX('Staff Master'!$B$5:$B$24,MATCH(C74,'Staff Master'!$A$5:$A$24,0)),"")</f>
        <v>Aisha Al Shamsi</v>
      </c>
      <c r="E74" s="16" t="str">
        <f aca="false">IFERROR(INDEX('Staff Master'!$D$5:$D$24,MATCH(C74,'Staff Master'!$A$5:$A$24,0)),"")</f>
        <v>Reception</v>
      </c>
      <c r="F74" s="16" t="str">
        <f aca="false">IFERROR(INDEX('Staff Master'!$E$5:$E$24,MATCH(C74,'Staff Master'!$A$5:$A$24,0)),"")</f>
        <v>Receptionist</v>
      </c>
      <c r="G74" s="10" t="s">
        <v>87</v>
      </c>
      <c r="H74" s="17" t="n">
        <f aca="false">IFERROR(INDEX('Shift Master'!$C$5:$C$16,MATCH(G74,'Shift Master'!$A$5:$A$16,0)),"")</f>
        <v>0.333333333333333</v>
      </c>
      <c r="I74" s="17" t="n">
        <f aca="false">IFERROR(INDEX('Shift Master'!$D$5:$D$16,MATCH(G74,'Shift Master'!$A$5:$A$16,0)),"")</f>
        <v>0.708333333333333</v>
      </c>
      <c r="J74" s="16" t="n">
        <f aca="false">IFERROR(INDEX('Shift Master'!$E$5:$E$16,MATCH(G74,'Shift Master'!$A$5:$A$16,0)),"")</f>
        <v>60</v>
      </c>
      <c r="K74" s="16" t="n">
        <f aca="false">IFERROR(INDEX('Shift Master'!$G$5:$G$16,MATCH(G74,'Shift Master'!$A$5:$A$16,0)),0)</f>
        <v>8</v>
      </c>
      <c r="L74" s="16" t="s">
        <v>228</v>
      </c>
      <c r="M74" s="16" t="s">
        <v>229</v>
      </c>
      <c r="N74" s="16" t="str">
        <f aca="false">IF(COUNTIFS('Staffing Coverage'!$A$5:$A$12,E74,'Staffing Coverage'!$B$5:$B$12,G74)=0,"",IF(COUNTIFS($A$5:$A$10004,A74,$E$5:$E$10004,E74,$G$5:$G$10004,G74)&lt;INDEX('Staffing Coverage'!$C$5:$C$12,MATCH(1,('Staffing Coverage'!$A$5:$A$12=E74)*('Staffing Coverage'!$B$5:$B$12=G74),0)),"SHORT","OK"))</f>
        <v>SHORT</v>
      </c>
    </row>
    <row r="75" customFormat="false" ht="15" hidden="false" customHeight="false" outlineLevel="0" collapsed="false">
      <c r="A75" s="15" t="n">
        <v>46299</v>
      </c>
      <c r="B75" s="16" t="str">
        <f aca="false">TEXT(A75,"ddd")</f>
        <v>Sun</v>
      </c>
      <c r="C75" s="10" t="s">
        <v>179</v>
      </c>
      <c r="D75" s="16" t="str">
        <f aca="false">IFERROR(INDEX('Staff Master'!$B$5:$B$24,MATCH(C75,'Staff Master'!$A$5:$A$24,0)),"")</f>
        <v>John Dsouza</v>
      </c>
      <c r="E75" s="16" t="str">
        <f aca="false">IFERROR(INDEX('Staff Master'!$D$5:$D$24,MATCH(C75,'Staff Master'!$A$5:$A$24,0)),"")</f>
        <v>Reception</v>
      </c>
      <c r="F75" s="16" t="str">
        <f aca="false">IFERROR(INDEX('Staff Master'!$E$5:$E$24,MATCH(C75,'Staff Master'!$A$5:$A$24,0)),"")</f>
        <v>Receptionist</v>
      </c>
      <c r="G75" s="10" t="s">
        <v>90</v>
      </c>
      <c r="H75" s="17" t="n">
        <f aca="false">IFERROR(INDEX('Shift Master'!$C$5:$C$16,MATCH(G75,'Shift Master'!$A$5:$A$16,0)),"")</f>
        <v>0.375</v>
      </c>
      <c r="I75" s="17" t="n">
        <f aca="false">IFERROR(INDEX('Shift Master'!$D$5:$D$16,MATCH(G75,'Shift Master'!$A$5:$A$16,0)),"")</f>
        <v>0.75</v>
      </c>
      <c r="J75" s="16" t="n">
        <f aca="false">IFERROR(INDEX('Shift Master'!$E$5:$E$16,MATCH(G75,'Shift Master'!$A$5:$A$16,0)),"")</f>
        <v>60</v>
      </c>
      <c r="K75" s="16" t="n">
        <f aca="false">IFERROR(INDEX('Shift Master'!$G$5:$G$16,MATCH(G75,'Shift Master'!$A$5:$A$16,0)),0)</f>
        <v>8</v>
      </c>
      <c r="L75" s="16" t="s">
        <v>228</v>
      </c>
      <c r="M75" s="16" t="s">
        <v>229</v>
      </c>
      <c r="N75" s="16" t="str">
        <f aca="false">IF(COUNTIFS('Staffing Coverage'!$A$5:$A$12,E75,'Staffing Coverage'!$B$5:$B$12,G75)=0,"",IF(COUNTIFS($A$5:$A$10004,A75,$E$5:$E$10004,E75,$G$5:$G$10004,G75)&lt;INDEX('Staffing Coverage'!$C$5:$C$12,MATCH(1,('Staffing Coverage'!$A$5:$A$12=E75)*('Staffing Coverage'!$B$5:$B$12=G75),0)),"SHORT","OK"))</f>
        <v>SHORT</v>
      </c>
    </row>
    <row r="76" customFormat="false" ht="15" hidden="false" customHeight="false" outlineLevel="0" collapsed="false">
      <c r="A76" s="15" t="n">
        <v>46299</v>
      </c>
      <c r="B76" s="16" t="str">
        <f aca="false">TEXT(A76,"ddd")</f>
        <v>Sun</v>
      </c>
      <c r="C76" s="10" t="s">
        <v>184</v>
      </c>
      <c r="D76" s="16" t="str">
        <f aca="false">IFERROR(INDEX('Staff Master'!$B$5:$B$24,MATCH(C76,'Staff Master'!$A$5:$A$24,0)),"")</f>
        <v>Fatima Zahra</v>
      </c>
      <c r="E76" s="16" t="str">
        <f aca="false">IFERROR(INDEX('Staff Master'!$D$5:$D$24,MATCH(C76,'Staff Master'!$A$5:$A$24,0)),"")</f>
        <v>Reception</v>
      </c>
      <c r="F76" s="16" t="str">
        <f aca="false">IFERROR(INDEX('Staff Master'!$E$5:$E$24,MATCH(C76,'Staff Master'!$A$5:$A$24,0)),"")</f>
        <v>Receptionist</v>
      </c>
      <c r="G76" s="10" t="s">
        <v>94</v>
      </c>
      <c r="H76" s="17" t="n">
        <f aca="false">IFERROR(INDEX('Shift Master'!$C$5:$C$16,MATCH(G76,'Shift Master'!$A$5:$A$16,0)),"")</f>
        <v>0.541666666666667</v>
      </c>
      <c r="I76" s="17" t="n">
        <f aca="false">IFERROR(INDEX('Shift Master'!$D$5:$D$16,MATCH(G76,'Shift Master'!$A$5:$A$16,0)),"")</f>
        <v>0.916666666666667</v>
      </c>
      <c r="J76" s="16" t="n">
        <f aca="false">IFERROR(INDEX('Shift Master'!$E$5:$E$16,MATCH(G76,'Shift Master'!$A$5:$A$16,0)),"")</f>
        <v>60</v>
      </c>
      <c r="K76" s="16" t="n">
        <f aca="false">IFERROR(INDEX('Shift Master'!$G$5:$G$16,MATCH(G76,'Shift Master'!$A$5:$A$16,0)),0)</f>
        <v>8</v>
      </c>
      <c r="L76" s="16" t="s">
        <v>228</v>
      </c>
      <c r="M76" s="16" t="s">
        <v>229</v>
      </c>
      <c r="N76" s="16" t="str">
        <f aca="false">IF(COUNTIFS('Staffing Coverage'!$A$5:$A$12,E76,'Staffing Coverage'!$B$5:$B$12,G76)=0,"",IF(COUNTIFS($A$5:$A$10004,A76,$E$5:$E$10004,E76,$G$5:$G$10004,G76)&lt;INDEX('Staffing Coverage'!$C$5:$C$12,MATCH(1,('Staffing Coverage'!$A$5:$A$12=E76)*('Staffing Coverage'!$B$5:$B$12=G76),0)),"SHORT","OK"))</f>
        <v>OK</v>
      </c>
    </row>
    <row r="77" customFormat="false" ht="15" hidden="false" customHeight="false" outlineLevel="0" collapsed="false">
      <c r="A77" s="15" t="n">
        <v>46299</v>
      </c>
      <c r="B77" s="16" t="str">
        <f aca="false">TEXT(A77,"ddd")</f>
        <v>Sun</v>
      </c>
      <c r="C77" s="10" t="s">
        <v>188</v>
      </c>
      <c r="D77" s="16" t="str">
        <f aca="false">IFERROR(INDEX('Staff Master'!$B$5:$B$24,MATCH(C77,'Staff Master'!$A$5:$A$24,0)),"")</f>
        <v>Ana Reyes</v>
      </c>
      <c r="E77" s="16" t="str">
        <f aca="false">IFERROR(INDEX('Staff Master'!$D$5:$D$24,MATCH(C77,'Staff Master'!$A$5:$A$24,0)),"")</f>
        <v>Dental</v>
      </c>
      <c r="F77" s="16" t="str">
        <f aca="false">IFERROR(INDEX('Staff Master'!$E$5:$E$24,MATCH(C77,'Staff Master'!$A$5:$A$24,0)),"")</f>
        <v>Dental Assistant</v>
      </c>
      <c r="G77" s="10" t="s">
        <v>97</v>
      </c>
      <c r="H77" s="17" t="n">
        <f aca="false">IFERROR(INDEX('Shift Master'!$C$5:$C$16,MATCH(G77,'Shift Master'!$A$5:$A$16,0)),"")</f>
        <v>0</v>
      </c>
      <c r="I77" s="17" t="n">
        <f aca="false">IFERROR(INDEX('Shift Master'!$D$5:$D$16,MATCH(G77,'Shift Master'!$A$5:$A$16,0)),"")</f>
        <v>0</v>
      </c>
      <c r="J77" s="16" t="n">
        <f aca="false">IFERROR(INDEX('Shift Master'!$E$5:$E$16,MATCH(G77,'Shift Master'!$A$5:$A$16,0)),"")</f>
        <v>0</v>
      </c>
      <c r="K77" s="16" t="n">
        <f aca="false">IFERROR(INDEX('Shift Master'!$G$5:$G$16,MATCH(G77,'Shift Master'!$A$5:$A$16,0)),0)</f>
        <v>0</v>
      </c>
      <c r="L77" s="16" t="s">
        <v>228</v>
      </c>
      <c r="M77" s="16" t="s">
        <v>229</v>
      </c>
      <c r="N77" s="16" t="str">
        <f aca="false">IF(COUNTIFS('Staffing Coverage'!$A$5:$A$12,E77,'Staffing Coverage'!$B$5:$B$12,G77)=0,"",IF(COUNTIFS($A$5:$A$10004,A77,$E$5:$E$10004,E77,$G$5:$G$10004,G77)&lt;INDEX('Staffing Coverage'!$C$5:$C$12,MATCH(1,('Staffing Coverage'!$A$5:$A$12=E77)*('Staffing Coverage'!$B$5:$B$12=G77),0)),"SHORT","OK"))</f>
        <v/>
      </c>
    </row>
    <row r="78" customFormat="false" ht="15" hidden="false" customHeight="false" outlineLevel="0" collapsed="false">
      <c r="A78" s="15" t="n">
        <v>46299</v>
      </c>
      <c r="B78" s="16" t="str">
        <f aca="false">TEXT(A78,"ddd")</f>
        <v>Sun</v>
      </c>
      <c r="C78" s="10" t="s">
        <v>192</v>
      </c>
      <c r="D78" s="16" t="str">
        <f aca="false">IFERROR(INDEX('Staff Master'!$B$5:$B$24,MATCH(C78,'Staff Master'!$A$5:$A$24,0)),"")</f>
        <v>Noor Hassan</v>
      </c>
      <c r="E78" s="16" t="str">
        <f aca="false">IFERROR(INDEX('Staff Master'!$D$5:$D$24,MATCH(C78,'Staff Master'!$A$5:$A$24,0)),"")</f>
        <v>Dental</v>
      </c>
      <c r="F78" s="16" t="str">
        <f aca="false">IFERROR(INDEX('Staff Master'!$E$5:$E$24,MATCH(C78,'Staff Master'!$A$5:$A$24,0)),"")</f>
        <v>Dental Assistant</v>
      </c>
      <c r="G78" s="10" t="s">
        <v>90</v>
      </c>
      <c r="H78" s="17" t="n">
        <f aca="false">IFERROR(INDEX('Shift Master'!$C$5:$C$16,MATCH(G78,'Shift Master'!$A$5:$A$16,0)),"")</f>
        <v>0.375</v>
      </c>
      <c r="I78" s="17" t="n">
        <f aca="false">IFERROR(INDEX('Shift Master'!$D$5:$D$16,MATCH(G78,'Shift Master'!$A$5:$A$16,0)),"")</f>
        <v>0.75</v>
      </c>
      <c r="J78" s="16" t="n">
        <f aca="false">IFERROR(INDEX('Shift Master'!$E$5:$E$16,MATCH(G78,'Shift Master'!$A$5:$A$16,0)),"")</f>
        <v>60</v>
      </c>
      <c r="K78" s="16" t="n">
        <f aca="false">IFERROR(INDEX('Shift Master'!$G$5:$G$16,MATCH(G78,'Shift Master'!$A$5:$A$16,0)),0)</f>
        <v>8</v>
      </c>
      <c r="L78" s="16" t="s">
        <v>228</v>
      </c>
      <c r="M78" s="16" t="s">
        <v>229</v>
      </c>
      <c r="N78" s="16" t="str">
        <f aca="false">IF(COUNTIFS('Staffing Coverage'!$A$5:$A$12,E78,'Staffing Coverage'!$B$5:$B$12,G78)=0,"",IF(COUNTIFS($A$5:$A$10004,A78,$E$5:$E$10004,E78,$G$5:$G$10004,G78)&lt;INDEX('Staffing Coverage'!$C$5:$C$12,MATCH(1,('Staffing Coverage'!$A$5:$A$12=E78)*('Staffing Coverage'!$B$5:$B$12=G78),0)),"SHORT","OK"))</f>
        <v/>
      </c>
    </row>
    <row r="79" customFormat="false" ht="15" hidden="false" customHeight="false" outlineLevel="0" collapsed="false">
      <c r="A79" s="15" t="n">
        <v>46299</v>
      </c>
      <c r="B79" s="16" t="str">
        <f aca="false">TEXT(A79,"ddd")</f>
        <v>Sun</v>
      </c>
      <c r="C79" s="10" t="s">
        <v>196</v>
      </c>
      <c r="D79" s="16" t="str">
        <f aca="false">IFERROR(INDEX('Staff Master'!$B$5:$B$24,MATCH(C79,'Staff Master'!$A$5:$A$24,0)),"")</f>
        <v>Karan Mehta</v>
      </c>
      <c r="E79" s="16" t="str">
        <f aca="false">IFERROR(INDEX('Staff Master'!$D$5:$D$24,MATCH(C79,'Staff Master'!$A$5:$A$24,0)),"")</f>
        <v>Laser</v>
      </c>
      <c r="F79" s="16" t="str">
        <f aca="false">IFERROR(INDEX('Staff Master'!$E$5:$E$24,MATCH(C79,'Staff Master'!$A$5:$A$24,0)),"")</f>
        <v>Laser Technician</v>
      </c>
      <c r="G79" s="10" t="s">
        <v>90</v>
      </c>
      <c r="H79" s="17" t="n">
        <f aca="false">IFERROR(INDEX('Shift Master'!$C$5:$C$16,MATCH(G79,'Shift Master'!$A$5:$A$16,0)),"")</f>
        <v>0.375</v>
      </c>
      <c r="I79" s="17" t="n">
        <f aca="false">IFERROR(INDEX('Shift Master'!$D$5:$D$16,MATCH(G79,'Shift Master'!$A$5:$A$16,0)),"")</f>
        <v>0.75</v>
      </c>
      <c r="J79" s="16" t="n">
        <f aca="false">IFERROR(INDEX('Shift Master'!$E$5:$E$16,MATCH(G79,'Shift Master'!$A$5:$A$16,0)),"")</f>
        <v>60</v>
      </c>
      <c r="K79" s="16" t="n">
        <f aca="false">IFERROR(INDEX('Shift Master'!$G$5:$G$16,MATCH(G79,'Shift Master'!$A$5:$A$16,0)),0)</f>
        <v>8</v>
      </c>
      <c r="L79" s="16" t="s">
        <v>228</v>
      </c>
      <c r="M79" s="16" t="s">
        <v>229</v>
      </c>
      <c r="N79" s="16" t="str">
        <f aca="false">IF(COUNTIFS('Staffing Coverage'!$A$5:$A$12,E79,'Staffing Coverage'!$B$5:$B$12,G79)=0,"",IF(COUNTIFS($A$5:$A$10004,A79,$E$5:$E$10004,E79,$G$5:$G$10004,G79)&lt;INDEX('Staffing Coverage'!$C$5:$C$12,MATCH(1,('Staffing Coverage'!$A$5:$A$12=E79)*('Staffing Coverage'!$B$5:$B$12=G79),0)),"SHORT","OK"))</f>
        <v/>
      </c>
    </row>
    <row r="80" customFormat="false" ht="15" hidden="false" customHeight="false" outlineLevel="0" collapsed="false">
      <c r="A80" s="15" t="n">
        <v>46299</v>
      </c>
      <c r="B80" s="16" t="str">
        <f aca="false">TEXT(A80,"ddd")</f>
        <v>Sun</v>
      </c>
      <c r="C80" s="10" t="s">
        <v>200</v>
      </c>
      <c r="D80" s="16" t="str">
        <f aca="false">IFERROR(INDEX('Staff Master'!$B$5:$B$24,MATCH(C80,'Staff Master'!$A$5:$A$24,0)),"")</f>
        <v>Imran Sheikh</v>
      </c>
      <c r="E80" s="16" t="str">
        <f aca="false">IFERROR(INDEX('Staff Master'!$D$5:$D$24,MATCH(C80,'Staff Master'!$A$5:$A$24,0)),"")</f>
        <v>Dental Laboratory</v>
      </c>
      <c r="F80" s="16" t="str">
        <f aca="false">IFERROR(INDEX('Staff Master'!$E$5:$E$24,MATCH(C80,'Staff Master'!$A$5:$A$24,0)),"")</f>
        <v>Dental Technician</v>
      </c>
      <c r="G80" s="10" t="s">
        <v>87</v>
      </c>
      <c r="H80" s="17" t="n">
        <f aca="false">IFERROR(INDEX('Shift Master'!$C$5:$C$16,MATCH(G80,'Shift Master'!$A$5:$A$16,0)),"")</f>
        <v>0.333333333333333</v>
      </c>
      <c r="I80" s="17" t="n">
        <f aca="false">IFERROR(INDEX('Shift Master'!$D$5:$D$16,MATCH(G80,'Shift Master'!$A$5:$A$16,0)),"")</f>
        <v>0.708333333333333</v>
      </c>
      <c r="J80" s="16" t="n">
        <f aca="false">IFERROR(INDEX('Shift Master'!$E$5:$E$16,MATCH(G80,'Shift Master'!$A$5:$A$16,0)),"")</f>
        <v>60</v>
      </c>
      <c r="K80" s="16" t="n">
        <f aca="false">IFERROR(INDEX('Shift Master'!$G$5:$G$16,MATCH(G80,'Shift Master'!$A$5:$A$16,0)),0)</f>
        <v>8</v>
      </c>
      <c r="L80" s="16" t="s">
        <v>228</v>
      </c>
      <c r="M80" s="16" t="s">
        <v>229</v>
      </c>
      <c r="N80" s="16" t="str">
        <f aca="false">IF(COUNTIFS('Staffing Coverage'!$A$5:$A$12,E80,'Staffing Coverage'!$B$5:$B$12,G80)=0,"",IF(COUNTIFS($A$5:$A$10004,A80,$E$5:$E$10004,E80,$G$5:$G$10004,G80)&lt;INDEX('Staffing Coverage'!$C$5:$C$12,MATCH(1,('Staffing Coverage'!$A$5:$A$12=E80)*('Staffing Coverage'!$B$5:$B$12=G80),0)),"SHORT","OK"))</f>
        <v/>
      </c>
    </row>
    <row r="81" customFormat="false" ht="15" hidden="false" customHeight="false" outlineLevel="0" collapsed="false">
      <c r="A81" s="15" t="n">
        <v>46299</v>
      </c>
      <c r="B81" s="16" t="str">
        <f aca="false">TEXT(A81,"ddd")</f>
        <v>Sun</v>
      </c>
      <c r="C81" s="10" t="s">
        <v>204</v>
      </c>
      <c r="D81" s="16" t="str">
        <f aca="false">IFERROR(INDEX('Staff Master'!$B$5:$B$24,MATCH(C81,'Staff Master'!$A$5:$A$24,0)),"")</f>
        <v>Josephine Cruz</v>
      </c>
      <c r="E81" s="16" t="str">
        <f aca="false">IFERROR(INDEX('Staff Master'!$D$5:$D$24,MATCH(C81,'Staff Master'!$A$5:$A$24,0)),"")</f>
        <v>CSSD</v>
      </c>
      <c r="F81" s="16" t="str">
        <f aca="false">IFERROR(INDEX('Staff Master'!$E$5:$E$24,MATCH(C81,'Staff Master'!$A$5:$A$24,0)),"")</f>
        <v>CSSD Technician</v>
      </c>
      <c r="G81" s="10" t="s">
        <v>97</v>
      </c>
      <c r="H81" s="17" t="n">
        <f aca="false">IFERROR(INDEX('Shift Master'!$C$5:$C$16,MATCH(G81,'Shift Master'!$A$5:$A$16,0)),"")</f>
        <v>0</v>
      </c>
      <c r="I81" s="17" t="n">
        <f aca="false">IFERROR(INDEX('Shift Master'!$D$5:$D$16,MATCH(G81,'Shift Master'!$A$5:$A$16,0)),"")</f>
        <v>0</v>
      </c>
      <c r="J81" s="16" t="n">
        <f aca="false">IFERROR(INDEX('Shift Master'!$E$5:$E$16,MATCH(G81,'Shift Master'!$A$5:$A$16,0)),"")</f>
        <v>0</v>
      </c>
      <c r="K81" s="16" t="n">
        <f aca="false">IFERROR(INDEX('Shift Master'!$G$5:$G$16,MATCH(G81,'Shift Master'!$A$5:$A$16,0)),0)</f>
        <v>0</v>
      </c>
      <c r="L81" s="16" t="s">
        <v>228</v>
      </c>
      <c r="M81" s="16" t="s">
        <v>229</v>
      </c>
      <c r="N81" s="16" t="str">
        <f aca="false">IF(COUNTIFS('Staffing Coverage'!$A$5:$A$12,E81,'Staffing Coverage'!$B$5:$B$12,G81)=0,"",IF(COUNTIFS($A$5:$A$10004,A81,$E$5:$E$10004,E81,$G$5:$G$10004,G81)&lt;INDEX('Staffing Coverage'!$C$5:$C$12,MATCH(1,('Staffing Coverage'!$A$5:$A$12=E81)*('Staffing Coverage'!$B$5:$B$12=G81),0)),"SHORT","OK"))</f>
        <v/>
      </c>
    </row>
    <row r="82" customFormat="false" ht="15" hidden="false" customHeight="false" outlineLevel="0" collapsed="false">
      <c r="A82" s="15" t="n">
        <v>46299</v>
      </c>
      <c r="B82" s="16" t="str">
        <f aca="false">TEXT(A82,"ddd")</f>
        <v>Sun</v>
      </c>
      <c r="C82" s="10" t="s">
        <v>208</v>
      </c>
      <c r="D82" s="16" t="str">
        <f aca="false">IFERROR(INDEX('Staff Master'!$B$5:$B$24,MATCH(C82,'Staff Master'!$A$5:$A$24,0)),"")</f>
        <v>Rosalyn Tan</v>
      </c>
      <c r="E82" s="16" t="str">
        <f aca="false">IFERROR(INDEX('Staff Master'!$D$5:$D$24,MATCH(C82,'Staff Master'!$A$5:$A$24,0)),"")</f>
        <v>Cleaning</v>
      </c>
      <c r="F82" s="16" t="str">
        <f aca="false">IFERROR(INDEX('Staff Master'!$E$5:$E$24,MATCH(C82,'Staff Master'!$A$5:$A$24,0)),"")</f>
        <v>Cleaner</v>
      </c>
      <c r="G82" s="10" t="s">
        <v>87</v>
      </c>
      <c r="H82" s="17" t="n">
        <f aca="false">IFERROR(INDEX('Shift Master'!$C$5:$C$16,MATCH(G82,'Shift Master'!$A$5:$A$16,0)),"")</f>
        <v>0.333333333333333</v>
      </c>
      <c r="I82" s="17" t="n">
        <f aca="false">IFERROR(INDEX('Shift Master'!$D$5:$D$16,MATCH(G82,'Shift Master'!$A$5:$A$16,0)),"")</f>
        <v>0.708333333333333</v>
      </c>
      <c r="J82" s="16" t="n">
        <f aca="false">IFERROR(INDEX('Shift Master'!$E$5:$E$16,MATCH(G82,'Shift Master'!$A$5:$A$16,0)),"")</f>
        <v>60</v>
      </c>
      <c r="K82" s="16" t="n">
        <f aca="false">IFERROR(INDEX('Shift Master'!$G$5:$G$16,MATCH(G82,'Shift Master'!$A$5:$A$16,0)),0)</f>
        <v>8</v>
      </c>
      <c r="L82" s="16" t="s">
        <v>228</v>
      </c>
      <c r="M82" s="16" t="s">
        <v>229</v>
      </c>
      <c r="N82" s="16" t="str">
        <f aca="false">IF(COUNTIFS('Staffing Coverage'!$A$5:$A$12,E82,'Staffing Coverage'!$B$5:$B$12,G82)=0,"",IF(COUNTIFS($A$5:$A$10004,A82,$E$5:$E$10004,E82,$G$5:$G$10004,G82)&lt;INDEX('Staffing Coverage'!$C$5:$C$12,MATCH(1,('Staffing Coverage'!$A$5:$A$12=E82)*('Staffing Coverage'!$B$5:$B$12=G82),0)),"SHORT","OK"))</f>
        <v>OK</v>
      </c>
    </row>
    <row r="83" customFormat="false" ht="15" hidden="false" customHeight="false" outlineLevel="0" collapsed="false">
      <c r="A83" s="15" t="n">
        <v>46299</v>
      </c>
      <c r="B83" s="16" t="str">
        <f aca="false">TEXT(A83,"ddd")</f>
        <v>Sun</v>
      </c>
      <c r="C83" s="10" t="s">
        <v>212</v>
      </c>
      <c r="D83" s="16" t="str">
        <f aca="false">IFERROR(INDEX('Staff Master'!$B$5:$B$24,MATCH(C83,'Staff Master'!$A$5:$A$24,0)),"")</f>
        <v>Hassan Baig</v>
      </c>
      <c r="E83" s="16" t="str">
        <f aca="false">IFERROR(INDEX('Staff Master'!$D$5:$D$24,MATCH(C83,'Staff Master'!$A$5:$A$24,0)),"")</f>
        <v>Facilities</v>
      </c>
      <c r="F83" s="16" t="str">
        <f aca="false">IFERROR(INDEX('Staff Master'!$E$5:$E$24,MATCH(C83,'Staff Master'!$A$5:$A$24,0)),"")</f>
        <v>Facility Manager</v>
      </c>
      <c r="G83" s="10" t="s">
        <v>90</v>
      </c>
      <c r="H83" s="17" t="n">
        <f aca="false">IFERROR(INDEX('Shift Master'!$C$5:$C$16,MATCH(G83,'Shift Master'!$A$5:$A$16,0)),"")</f>
        <v>0.375</v>
      </c>
      <c r="I83" s="17" t="n">
        <f aca="false">IFERROR(INDEX('Shift Master'!$D$5:$D$16,MATCH(G83,'Shift Master'!$A$5:$A$16,0)),"")</f>
        <v>0.75</v>
      </c>
      <c r="J83" s="16" t="n">
        <f aca="false">IFERROR(INDEX('Shift Master'!$E$5:$E$16,MATCH(G83,'Shift Master'!$A$5:$A$16,0)),"")</f>
        <v>60</v>
      </c>
      <c r="K83" s="16" t="n">
        <f aca="false">IFERROR(INDEX('Shift Master'!$G$5:$G$16,MATCH(G83,'Shift Master'!$A$5:$A$16,0)),0)</f>
        <v>8</v>
      </c>
      <c r="L83" s="16" t="s">
        <v>228</v>
      </c>
      <c r="M83" s="16" t="s">
        <v>229</v>
      </c>
      <c r="N83" s="16" t="str">
        <f aca="false">IF(COUNTIFS('Staffing Coverage'!$A$5:$A$12,E83,'Staffing Coverage'!$B$5:$B$12,G83)=0,"",IF(COUNTIFS($A$5:$A$10004,A83,$E$5:$E$10004,E83,$G$5:$G$10004,G83)&lt;INDEX('Staffing Coverage'!$C$5:$C$12,MATCH(1,('Staffing Coverage'!$A$5:$A$12=E83)*('Staffing Coverage'!$B$5:$B$12=G83),0)),"SHORT","OK"))</f>
        <v/>
      </c>
    </row>
    <row r="84" customFormat="false" ht="15" hidden="false" customHeight="false" outlineLevel="0" collapsed="false">
      <c r="A84" s="15" t="n">
        <v>46299</v>
      </c>
      <c r="B84" s="16" t="str">
        <f aca="false">TEXT(A84,"ddd")</f>
        <v>Sun</v>
      </c>
      <c r="C84" s="10" t="s">
        <v>178</v>
      </c>
      <c r="D84" s="16" t="str">
        <f aca="false">IFERROR(INDEX('Staff Master'!$B$5:$B$24,MATCH(C84,'Staff Master'!$A$5:$A$24,0)),"")</f>
        <v>Meera Pillai</v>
      </c>
      <c r="E84" s="16" t="str">
        <f aca="false">IFERROR(INDEX('Staff Master'!$D$5:$D$24,MATCH(C84,'Staff Master'!$A$5:$A$24,0)),"")</f>
        <v>HR</v>
      </c>
      <c r="F84" s="16" t="str">
        <f aca="false">IFERROR(INDEX('Staff Master'!$E$5:$E$24,MATCH(C84,'Staff Master'!$A$5:$A$24,0)),"")</f>
        <v>HR Executive</v>
      </c>
      <c r="G84" s="10" t="s">
        <v>90</v>
      </c>
      <c r="H84" s="17" t="n">
        <f aca="false">IFERROR(INDEX('Shift Master'!$C$5:$C$16,MATCH(G84,'Shift Master'!$A$5:$A$16,0)),"")</f>
        <v>0.375</v>
      </c>
      <c r="I84" s="17" t="n">
        <f aca="false">IFERROR(INDEX('Shift Master'!$D$5:$D$16,MATCH(G84,'Shift Master'!$A$5:$A$16,0)),"")</f>
        <v>0.75</v>
      </c>
      <c r="J84" s="16" t="n">
        <f aca="false">IFERROR(INDEX('Shift Master'!$E$5:$E$16,MATCH(G84,'Shift Master'!$A$5:$A$16,0)),"")</f>
        <v>60</v>
      </c>
      <c r="K84" s="16" t="n">
        <f aca="false">IFERROR(INDEX('Shift Master'!$G$5:$G$16,MATCH(G84,'Shift Master'!$A$5:$A$16,0)),0)</f>
        <v>8</v>
      </c>
      <c r="L84" s="16" t="s">
        <v>228</v>
      </c>
      <c r="M84" s="16" t="s">
        <v>229</v>
      </c>
      <c r="N84" s="16" t="str">
        <f aca="false">IF(COUNTIFS('Staffing Coverage'!$A$5:$A$12,E84,'Staffing Coverage'!$B$5:$B$12,G84)=0,"",IF(COUNTIFS($A$5:$A$10004,A84,$E$5:$E$10004,E84,$G$5:$G$10004,G84)&lt;INDEX('Staffing Coverage'!$C$5:$C$12,MATCH(1,('Staffing Coverage'!$A$5:$A$12=E84)*('Staffing Coverage'!$B$5:$B$12=G84),0)),"SHORT","OK"))</f>
        <v/>
      </c>
    </row>
    <row r="85" customFormat="false" ht="15" hidden="false" customHeight="false" outlineLevel="0" collapsed="false">
      <c r="A85" s="15" t="n">
        <v>46300</v>
      </c>
      <c r="B85" s="16" t="str">
        <f aca="false">TEXT(A85,"ddd")</f>
        <v>Mon</v>
      </c>
      <c r="C85" s="10" t="s">
        <v>128</v>
      </c>
      <c r="D85" s="16" t="str">
        <f aca="false">IFERROR(INDEX('Staff Master'!$B$5:$B$24,MATCH(C85,'Staff Master'!$A$5:$A$24,0)),"")</f>
        <v>Rashid Al Nuaimi</v>
      </c>
      <c r="E85" s="16" t="str">
        <f aca="false">IFERROR(INDEX('Staff Master'!$D$5:$D$24,MATCH(C85,'Staff Master'!$A$5:$A$24,0)),"")</f>
        <v>Management</v>
      </c>
      <c r="F85" s="16" t="str">
        <f aca="false">IFERROR(INDEX('Staff Master'!$E$5:$E$24,MATCH(C85,'Staff Master'!$A$5:$A$24,0)),"")</f>
        <v>CEO</v>
      </c>
      <c r="G85" s="10" t="s">
        <v>90</v>
      </c>
      <c r="H85" s="17" t="n">
        <f aca="false">IFERROR(INDEX('Shift Master'!$C$5:$C$16,MATCH(G85,'Shift Master'!$A$5:$A$16,0)),"")</f>
        <v>0.375</v>
      </c>
      <c r="I85" s="17" t="n">
        <f aca="false">IFERROR(INDEX('Shift Master'!$D$5:$D$16,MATCH(G85,'Shift Master'!$A$5:$A$16,0)),"")</f>
        <v>0.75</v>
      </c>
      <c r="J85" s="16" t="n">
        <f aca="false">IFERROR(INDEX('Shift Master'!$E$5:$E$16,MATCH(G85,'Shift Master'!$A$5:$A$16,0)),"")</f>
        <v>60</v>
      </c>
      <c r="K85" s="16" t="n">
        <f aca="false">IFERROR(INDEX('Shift Master'!$G$5:$G$16,MATCH(G85,'Shift Master'!$A$5:$A$16,0)),0)</f>
        <v>8</v>
      </c>
      <c r="L85" s="16" t="s">
        <v>228</v>
      </c>
      <c r="M85" s="16" t="s">
        <v>229</v>
      </c>
      <c r="N85" s="16" t="str">
        <f aca="false">IF(COUNTIFS('Staffing Coverage'!$A$5:$A$12,E85,'Staffing Coverage'!$B$5:$B$12,G85)=0,"",IF(COUNTIFS($A$5:$A$10004,A85,$E$5:$E$10004,E85,$G$5:$G$10004,G85)&lt;INDEX('Staffing Coverage'!$C$5:$C$12,MATCH(1,('Staffing Coverage'!$A$5:$A$12=E85)*('Staffing Coverage'!$B$5:$B$12=G85),0)),"SHORT","OK"))</f>
        <v/>
      </c>
    </row>
    <row r="86" customFormat="false" ht="15" hidden="false" customHeight="false" outlineLevel="0" collapsed="false">
      <c r="A86" s="15" t="n">
        <v>46300</v>
      </c>
      <c r="B86" s="16" t="str">
        <f aca="false">TEXT(A86,"ddd")</f>
        <v>Mon</v>
      </c>
      <c r="C86" s="10" t="s">
        <v>137</v>
      </c>
      <c r="D86" s="16" t="str">
        <f aca="false">IFERROR(INDEX('Staff Master'!$B$5:$B$24,MATCH(C86,'Staff Master'!$A$5:$A$24,0)),"")</f>
        <v>Dr. Sara Haddad</v>
      </c>
      <c r="E86" s="16" t="str">
        <f aca="false">IFERROR(INDEX('Staff Master'!$D$5:$D$24,MATCH(C86,'Staff Master'!$A$5:$A$24,0)),"")</f>
        <v>General Practice</v>
      </c>
      <c r="F86" s="16" t="str">
        <f aca="false">IFERROR(INDEX('Staff Master'!$E$5:$E$24,MATCH(C86,'Staff Master'!$A$5:$A$24,0)),"")</f>
        <v>Medical Director</v>
      </c>
      <c r="G86" s="10" t="s">
        <v>96</v>
      </c>
      <c r="H86" s="17" t="n">
        <f aca="false">IFERROR(INDEX('Shift Master'!$C$5:$C$16,MATCH(G86,'Shift Master'!$A$5:$A$16,0)),"")</f>
        <v>0.375</v>
      </c>
      <c r="I86" s="17" t="n">
        <f aca="false">IFERROR(INDEX('Shift Master'!$D$5:$D$16,MATCH(G86,'Shift Master'!$A$5:$A$16,0)),"")</f>
        <v>0.708333333333333</v>
      </c>
      <c r="J86" s="16" t="n">
        <f aca="false">IFERROR(INDEX('Shift Master'!$E$5:$E$16,MATCH(G86,'Shift Master'!$A$5:$A$16,0)),"")</f>
        <v>60</v>
      </c>
      <c r="K86" s="16" t="n">
        <f aca="false">IFERROR(INDEX('Shift Master'!$G$5:$G$16,MATCH(G86,'Shift Master'!$A$5:$A$16,0)),0)</f>
        <v>7</v>
      </c>
      <c r="L86" s="16" t="s">
        <v>228</v>
      </c>
      <c r="M86" s="16" t="s">
        <v>229</v>
      </c>
      <c r="N86" s="16" t="str">
        <f aca="false">IF(COUNTIFS('Staffing Coverage'!$A$5:$A$12,E86,'Staffing Coverage'!$B$5:$B$12,G86)=0,"",IF(COUNTIFS($A$5:$A$10004,A86,$E$5:$E$10004,E86,$G$5:$G$10004,G86)&lt;INDEX('Staffing Coverage'!$C$5:$C$12,MATCH(1,('Staffing Coverage'!$A$5:$A$12=E86)*('Staffing Coverage'!$B$5:$B$12=G86),0)),"SHORT","OK"))</f>
        <v/>
      </c>
    </row>
    <row r="87" customFormat="false" ht="15" hidden="false" customHeight="false" outlineLevel="0" collapsed="false">
      <c r="A87" s="15" t="n">
        <v>46300</v>
      </c>
      <c r="B87" s="16" t="str">
        <f aca="false">TEXT(A87,"ddd")</f>
        <v>Mon</v>
      </c>
      <c r="C87" s="10" t="s">
        <v>142</v>
      </c>
      <c r="D87" s="16" t="str">
        <f aca="false">IFERROR(INDEX('Staff Master'!$B$5:$B$24,MATCH(C87,'Staff Master'!$A$5:$A$24,0)),"")</f>
        <v>Dr. Omar Khalil</v>
      </c>
      <c r="E87" s="16" t="str">
        <f aca="false">IFERROR(INDEX('Staff Master'!$D$5:$D$24,MATCH(C87,'Staff Master'!$A$5:$A$24,0)),"")</f>
        <v>General Practice</v>
      </c>
      <c r="F87" s="16" t="str">
        <f aca="false">IFERROR(INDEX('Staff Master'!$E$5:$E$24,MATCH(C87,'Staff Master'!$A$5:$A$24,0)),"")</f>
        <v>Doctor</v>
      </c>
      <c r="G87" s="10" t="s">
        <v>96</v>
      </c>
      <c r="H87" s="17" t="n">
        <f aca="false">IFERROR(INDEX('Shift Master'!$C$5:$C$16,MATCH(G87,'Shift Master'!$A$5:$A$16,0)),"")</f>
        <v>0.375</v>
      </c>
      <c r="I87" s="17" t="n">
        <f aca="false">IFERROR(INDEX('Shift Master'!$D$5:$D$16,MATCH(G87,'Shift Master'!$A$5:$A$16,0)),"")</f>
        <v>0.708333333333333</v>
      </c>
      <c r="J87" s="16" t="n">
        <f aca="false">IFERROR(INDEX('Shift Master'!$E$5:$E$16,MATCH(G87,'Shift Master'!$A$5:$A$16,0)),"")</f>
        <v>60</v>
      </c>
      <c r="K87" s="16" t="n">
        <f aca="false">IFERROR(INDEX('Shift Master'!$G$5:$G$16,MATCH(G87,'Shift Master'!$A$5:$A$16,0)),0)</f>
        <v>7</v>
      </c>
      <c r="L87" s="16" t="s">
        <v>228</v>
      </c>
      <c r="M87" s="16" t="s">
        <v>229</v>
      </c>
      <c r="N87" s="16" t="str">
        <f aca="false">IF(COUNTIFS('Staffing Coverage'!$A$5:$A$12,E87,'Staffing Coverage'!$B$5:$B$12,G87)=0,"",IF(COUNTIFS($A$5:$A$10004,A87,$E$5:$E$10004,E87,$G$5:$G$10004,G87)&lt;INDEX('Staffing Coverage'!$C$5:$C$12,MATCH(1,('Staffing Coverage'!$A$5:$A$12=E87)*('Staffing Coverage'!$B$5:$B$12=G87),0)),"SHORT","OK"))</f>
        <v/>
      </c>
    </row>
    <row r="88" customFormat="false" ht="15" hidden="false" customHeight="false" outlineLevel="0" collapsed="false">
      <c r="A88" s="15" t="n">
        <v>46300</v>
      </c>
      <c r="B88" s="16" t="str">
        <f aca="false">TEXT(A88,"ddd")</f>
        <v>Mon</v>
      </c>
      <c r="C88" s="10" t="s">
        <v>146</v>
      </c>
      <c r="D88" s="16" t="str">
        <f aca="false">IFERROR(INDEX('Staff Master'!$B$5:$B$24,MATCH(C88,'Staff Master'!$A$5:$A$24,0)),"")</f>
        <v>Dr. Lina Abboud</v>
      </c>
      <c r="E88" s="16" t="str">
        <f aca="false">IFERROR(INDEX('Staff Master'!$D$5:$D$24,MATCH(C88,'Staff Master'!$A$5:$A$24,0)),"")</f>
        <v>Dental</v>
      </c>
      <c r="F88" s="16" t="str">
        <f aca="false">IFERROR(INDEX('Staff Master'!$E$5:$E$24,MATCH(C88,'Staff Master'!$A$5:$A$24,0)),"")</f>
        <v>Dentist</v>
      </c>
      <c r="G88" s="10" t="s">
        <v>96</v>
      </c>
      <c r="H88" s="17" t="n">
        <f aca="false">IFERROR(INDEX('Shift Master'!$C$5:$C$16,MATCH(G88,'Shift Master'!$A$5:$A$16,0)),"")</f>
        <v>0.375</v>
      </c>
      <c r="I88" s="17" t="n">
        <f aca="false">IFERROR(INDEX('Shift Master'!$D$5:$D$16,MATCH(G88,'Shift Master'!$A$5:$A$16,0)),"")</f>
        <v>0.708333333333333</v>
      </c>
      <c r="J88" s="16" t="n">
        <f aca="false">IFERROR(INDEX('Shift Master'!$E$5:$E$16,MATCH(G88,'Shift Master'!$A$5:$A$16,0)),"")</f>
        <v>60</v>
      </c>
      <c r="K88" s="16" t="n">
        <f aca="false">IFERROR(INDEX('Shift Master'!$G$5:$G$16,MATCH(G88,'Shift Master'!$A$5:$A$16,0)),0)</f>
        <v>7</v>
      </c>
      <c r="L88" s="16" t="s">
        <v>228</v>
      </c>
      <c r="M88" s="16" t="s">
        <v>229</v>
      </c>
      <c r="N88" s="16" t="str">
        <f aca="false">IF(COUNTIFS('Staffing Coverage'!$A$5:$A$12,E88,'Staffing Coverage'!$B$5:$B$12,G88)=0,"",IF(COUNTIFS($A$5:$A$10004,A88,$E$5:$E$10004,E88,$G$5:$G$10004,G88)&lt;INDEX('Staffing Coverage'!$C$5:$C$12,MATCH(1,('Staffing Coverage'!$A$5:$A$12=E88)*('Staffing Coverage'!$B$5:$B$12=G88),0)),"SHORT","OK"))</f>
        <v/>
      </c>
    </row>
    <row r="89" customFormat="false" ht="15" hidden="false" customHeight="false" outlineLevel="0" collapsed="false">
      <c r="A89" s="15" t="n">
        <v>46300</v>
      </c>
      <c r="B89" s="16" t="str">
        <f aca="false">TEXT(A89,"ddd")</f>
        <v>Mon</v>
      </c>
      <c r="C89" s="10" t="s">
        <v>150</v>
      </c>
      <c r="D89" s="16" t="str">
        <f aca="false">IFERROR(INDEX('Staff Master'!$B$5:$B$24,MATCH(C89,'Staff Master'!$A$5:$A$24,0)),"")</f>
        <v>Dr. Farah Idris</v>
      </c>
      <c r="E89" s="16" t="str">
        <f aca="false">IFERROR(INDEX('Staff Master'!$D$5:$D$24,MATCH(C89,'Staff Master'!$A$5:$A$24,0)),"")</f>
        <v>Dental</v>
      </c>
      <c r="F89" s="16" t="str">
        <f aca="false">IFERROR(INDEX('Staff Master'!$E$5:$E$24,MATCH(C89,'Staff Master'!$A$5:$A$24,0)),"")</f>
        <v>Dentist</v>
      </c>
      <c r="G89" s="10" t="s">
        <v>96</v>
      </c>
      <c r="H89" s="17" t="n">
        <f aca="false">IFERROR(INDEX('Shift Master'!$C$5:$C$16,MATCH(G89,'Shift Master'!$A$5:$A$16,0)),"")</f>
        <v>0.375</v>
      </c>
      <c r="I89" s="17" t="n">
        <f aca="false">IFERROR(INDEX('Shift Master'!$D$5:$D$16,MATCH(G89,'Shift Master'!$A$5:$A$16,0)),"")</f>
        <v>0.708333333333333</v>
      </c>
      <c r="J89" s="16" t="n">
        <f aca="false">IFERROR(INDEX('Shift Master'!$E$5:$E$16,MATCH(G89,'Shift Master'!$A$5:$A$16,0)),"")</f>
        <v>60</v>
      </c>
      <c r="K89" s="16" t="n">
        <f aca="false">IFERROR(INDEX('Shift Master'!$G$5:$G$16,MATCH(G89,'Shift Master'!$A$5:$A$16,0)),0)</f>
        <v>7</v>
      </c>
      <c r="L89" s="16" t="s">
        <v>228</v>
      </c>
      <c r="M89" s="16" t="s">
        <v>229</v>
      </c>
      <c r="N89" s="16" t="str">
        <f aca="false">IF(COUNTIFS('Staffing Coverage'!$A$5:$A$12,E89,'Staffing Coverage'!$B$5:$B$12,G89)=0,"",IF(COUNTIFS($A$5:$A$10004,A89,$E$5:$E$10004,E89,$G$5:$G$10004,G89)&lt;INDEX('Staffing Coverage'!$C$5:$C$12,MATCH(1,('Staffing Coverage'!$A$5:$A$12=E89)*('Staffing Coverage'!$B$5:$B$12=G89),0)),"SHORT","OK"))</f>
        <v/>
      </c>
    </row>
    <row r="90" customFormat="false" ht="15" hidden="false" customHeight="false" outlineLevel="0" collapsed="false">
      <c r="A90" s="15" t="n">
        <v>46300</v>
      </c>
      <c r="B90" s="16" t="str">
        <f aca="false">TEXT(A90,"ddd")</f>
        <v>Mon</v>
      </c>
      <c r="C90" s="10" t="s">
        <v>157</v>
      </c>
      <c r="D90" s="16" t="str">
        <f aca="false">IFERROR(INDEX('Staff Master'!$B$5:$B$24,MATCH(C90,'Staff Master'!$A$5:$A$24,0)),"")</f>
        <v>Dr. Youssef Nassar</v>
      </c>
      <c r="E90" s="16" t="str">
        <f aca="false">IFERROR(INDEX('Staff Master'!$D$5:$D$24,MATCH(C90,'Staff Master'!$A$5:$A$24,0)),"")</f>
        <v>General Practice</v>
      </c>
      <c r="F90" s="16" t="str">
        <f aca="false">IFERROR(INDEX('Staff Master'!$E$5:$E$24,MATCH(C90,'Staff Master'!$A$5:$A$24,0)),"")</f>
        <v>General Practitioner</v>
      </c>
      <c r="G90" s="10" t="s">
        <v>96</v>
      </c>
      <c r="H90" s="17" t="n">
        <f aca="false">IFERROR(INDEX('Shift Master'!$C$5:$C$16,MATCH(G90,'Shift Master'!$A$5:$A$16,0)),"")</f>
        <v>0.375</v>
      </c>
      <c r="I90" s="17" t="n">
        <f aca="false">IFERROR(INDEX('Shift Master'!$D$5:$D$16,MATCH(G90,'Shift Master'!$A$5:$A$16,0)),"")</f>
        <v>0.708333333333333</v>
      </c>
      <c r="J90" s="16" t="n">
        <f aca="false">IFERROR(INDEX('Shift Master'!$E$5:$E$16,MATCH(G90,'Shift Master'!$A$5:$A$16,0)),"")</f>
        <v>60</v>
      </c>
      <c r="K90" s="16" t="n">
        <f aca="false">IFERROR(INDEX('Shift Master'!$G$5:$G$16,MATCH(G90,'Shift Master'!$A$5:$A$16,0)),0)</f>
        <v>7</v>
      </c>
      <c r="L90" s="16" t="s">
        <v>228</v>
      </c>
      <c r="M90" s="16" t="s">
        <v>229</v>
      </c>
      <c r="N90" s="16" t="str">
        <f aca="false">IF(COUNTIFS('Staffing Coverage'!$A$5:$A$12,E90,'Staffing Coverage'!$B$5:$B$12,G90)=0,"",IF(COUNTIFS($A$5:$A$10004,A90,$E$5:$E$10004,E90,$G$5:$G$10004,G90)&lt;INDEX('Staffing Coverage'!$C$5:$C$12,MATCH(1,('Staffing Coverage'!$A$5:$A$12=E90)*('Staffing Coverage'!$B$5:$B$12=G90),0)),"SHORT","OK"))</f>
        <v/>
      </c>
    </row>
    <row r="91" customFormat="false" ht="15" hidden="false" customHeight="false" outlineLevel="0" collapsed="false">
      <c r="A91" s="15" t="n">
        <v>46300</v>
      </c>
      <c r="B91" s="16" t="str">
        <f aca="false">TEXT(A91,"ddd")</f>
        <v>Mon</v>
      </c>
      <c r="C91" s="10" t="s">
        <v>161</v>
      </c>
      <c r="D91" s="16" t="str">
        <f aca="false">IFERROR(INDEX('Staff Master'!$B$5:$B$24,MATCH(C91,'Staff Master'!$A$5:$A$24,0)),"")</f>
        <v>Grace Fernandez</v>
      </c>
      <c r="E91" s="16" t="str">
        <f aca="false">IFERROR(INDEX('Staff Master'!$D$5:$D$24,MATCH(C91,'Staff Master'!$A$5:$A$24,0)),"")</f>
        <v>Nursing</v>
      </c>
      <c r="F91" s="16" t="str">
        <f aca="false">IFERROR(INDEX('Staff Master'!$E$5:$E$24,MATCH(C91,'Staff Master'!$A$5:$A$24,0)),"")</f>
        <v>Nurse</v>
      </c>
      <c r="G91" s="10" t="s">
        <v>87</v>
      </c>
      <c r="H91" s="17" t="n">
        <f aca="false">IFERROR(INDEX('Shift Master'!$C$5:$C$16,MATCH(G91,'Shift Master'!$A$5:$A$16,0)),"")</f>
        <v>0.333333333333333</v>
      </c>
      <c r="I91" s="17" t="n">
        <f aca="false">IFERROR(INDEX('Shift Master'!$D$5:$D$16,MATCH(G91,'Shift Master'!$A$5:$A$16,0)),"")</f>
        <v>0.708333333333333</v>
      </c>
      <c r="J91" s="16" t="n">
        <f aca="false">IFERROR(INDEX('Shift Master'!$E$5:$E$16,MATCH(G91,'Shift Master'!$A$5:$A$16,0)),"")</f>
        <v>60</v>
      </c>
      <c r="K91" s="16" t="n">
        <f aca="false">IFERROR(INDEX('Shift Master'!$G$5:$G$16,MATCH(G91,'Shift Master'!$A$5:$A$16,0)),0)</f>
        <v>8</v>
      </c>
      <c r="L91" s="16" t="s">
        <v>228</v>
      </c>
      <c r="M91" s="16" t="s">
        <v>229</v>
      </c>
      <c r="N91" s="16" t="str">
        <f aca="false">IF(COUNTIFS('Staffing Coverage'!$A$5:$A$12,E91,'Staffing Coverage'!$B$5:$B$12,G91)=0,"",IF(COUNTIFS($A$5:$A$10004,A91,$E$5:$E$10004,E91,$G$5:$G$10004,G91)&lt;INDEX('Staffing Coverage'!$C$5:$C$12,MATCH(1,('Staffing Coverage'!$A$5:$A$12=E91)*('Staffing Coverage'!$B$5:$B$12=G91),0)),"SHORT","OK"))</f>
        <v>OK</v>
      </c>
    </row>
    <row r="92" customFormat="false" ht="15" hidden="false" customHeight="false" outlineLevel="0" collapsed="false">
      <c r="A92" s="15" t="n">
        <v>46300</v>
      </c>
      <c r="B92" s="16" t="str">
        <f aca="false">TEXT(A92,"ddd")</f>
        <v>Mon</v>
      </c>
      <c r="C92" s="10" t="s">
        <v>165</v>
      </c>
      <c r="D92" s="16" t="str">
        <f aca="false">IFERROR(INDEX('Staff Master'!$B$5:$B$24,MATCH(C92,'Staff Master'!$A$5:$A$24,0)),"")</f>
        <v>Priya Nair</v>
      </c>
      <c r="E92" s="16" t="str">
        <f aca="false">IFERROR(INDEX('Staff Master'!$D$5:$D$24,MATCH(C92,'Staff Master'!$A$5:$A$24,0)),"")</f>
        <v>Nursing</v>
      </c>
      <c r="F92" s="16" t="str">
        <f aca="false">IFERROR(INDEX('Staff Master'!$E$5:$E$24,MATCH(C92,'Staff Master'!$A$5:$A$24,0)),"")</f>
        <v>Nurse</v>
      </c>
      <c r="G92" s="10" t="s">
        <v>100</v>
      </c>
      <c r="H92" s="17" t="n">
        <f aca="false">IFERROR(INDEX('Shift Master'!$C$5:$C$16,MATCH(G92,'Shift Master'!$A$5:$A$16,0)),"")</f>
        <v>0</v>
      </c>
      <c r="I92" s="17" t="n">
        <f aca="false">IFERROR(INDEX('Shift Master'!$D$5:$D$16,MATCH(G92,'Shift Master'!$A$5:$A$16,0)),"")</f>
        <v>0</v>
      </c>
      <c r="J92" s="16" t="n">
        <f aca="false">IFERROR(INDEX('Shift Master'!$E$5:$E$16,MATCH(G92,'Shift Master'!$A$5:$A$16,0)),"")</f>
        <v>0</v>
      </c>
      <c r="K92" s="16" t="n">
        <f aca="false">IFERROR(INDEX('Shift Master'!$G$5:$G$16,MATCH(G92,'Shift Master'!$A$5:$A$16,0)),0)</f>
        <v>0</v>
      </c>
      <c r="L92" s="16" t="s">
        <v>228</v>
      </c>
      <c r="M92" s="16" t="s">
        <v>229</v>
      </c>
      <c r="N92" s="16" t="str">
        <f aca="false">IF(COUNTIFS('Staffing Coverage'!$A$5:$A$12,E92,'Staffing Coverage'!$B$5:$B$12,G92)=0,"",IF(COUNTIFS($A$5:$A$10004,A92,$E$5:$E$10004,E92,$G$5:$G$10004,G92)&lt;INDEX('Staffing Coverage'!$C$5:$C$12,MATCH(1,('Staffing Coverage'!$A$5:$A$12=E92)*('Staffing Coverage'!$B$5:$B$12=G92),0)),"SHORT","OK"))</f>
        <v/>
      </c>
    </row>
    <row r="93" customFormat="false" ht="15" hidden="false" customHeight="false" outlineLevel="0" collapsed="false">
      <c r="A93" s="15" t="n">
        <v>46300</v>
      </c>
      <c r="B93" s="16" t="str">
        <f aca="false">TEXT(A93,"ddd")</f>
        <v>Mon</v>
      </c>
      <c r="C93" s="10" t="s">
        <v>170</v>
      </c>
      <c r="D93" s="16" t="str">
        <f aca="false">IFERROR(INDEX('Staff Master'!$B$5:$B$24,MATCH(C93,'Staff Master'!$A$5:$A$24,0)),"")</f>
        <v>Maria Santos</v>
      </c>
      <c r="E93" s="16" t="str">
        <f aca="false">IFERROR(INDEX('Staff Master'!$D$5:$D$24,MATCH(C93,'Staff Master'!$A$5:$A$24,0)),"")</f>
        <v>Nursing</v>
      </c>
      <c r="F93" s="16" t="str">
        <f aca="false">IFERROR(INDEX('Staff Master'!$E$5:$E$24,MATCH(C93,'Staff Master'!$A$5:$A$24,0)),"")</f>
        <v>Nurse</v>
      </c>
      <c r="G93" s="10" t="s">
        <v>94</v>
      </c>
      <c r="H93" s="17" t="n">
        <f aca="false">IFERROR(INDEX('Shift Master'!$C$5:$C$16,MATCH(G93,'Shift Master'!$A$5:$A$16,0)),"")</f>
        <v>0.541666666666667</v>
      </c>
      <c r="I93" s="17" t="n">
        <f aca="false">IFERROR(INDEX('Shift Master'!$D$5:$D$16,MATCH(G93,'Shift Master'!$A$5:$A$16,0)),"")</f>
        <v>0.916666666666667</v>
      </c>
      <c r="J93" s="16" t="n">
        <f aca="false">IFERROR(INDEX('Shift Master'!$E$5:$E$16,MATCH(G93,'Shift Master'!$A$5:$A$16,0)),"")</f>
        <v>60</v>
      </c>
      <c r="K93" s="16" t="n">
        <f aca="false">IFERROR(INDEX('Shift Master'!$G$5:$G$16,MATCH(G93,'Shift Master'!$A$5:$A$16,0)),0)</f>
        <v>8</v>
      </c>
      <c r="L93" s="16" t="s">
        <v>228</v>
      </c>
      <c r="M93" s="16" t="s">
        <v>229</v>
      </c>
      <c r="N93" s="16" t="str">
        <f aca="false">IF(COUNTIFS('Staffing Coverage'!$A$5:$A$12,E93,'Staffing Coverage'!$B$5:$B$12,G93)=0,"",IF(COUNTIFS($A$5:$A$10004,A93,$E$5:$E$10004,E93,$G$5:$G$10004,G93)&lt;INDEX('Staffing Coverage'!$C$5:$C$12,MATCH(1,('Staffing Coverage'!$A$5:$A$12=E93)*('Staffing Coverage'!$B$5:$B$12=G93),0)),"SHORT","OK"))</f>
        <v/>
      </c>
    </row>
    <row r="94" customFormat="false" ht="15" hidden="false" customHeight="false" outlineLevel="0" collapsed="false">
      <c r="A94" s="15" t="n">
        <v>46300</v>
      </c>
      <c r="B94" s="16" t="str">
        <f aca="false">TEXT(A94,"ddd")</f>
        <v>Mon</v>
      </c>
      <c r="C94" s="10" t="s">
        <v>174</v>
      </c>
      <c r="D94" s="16" t="str">
        <f aca="false">IFERROR(INDEX('Staff Master'!$B$5:$B$24,MATCH(C94,'Staff Master'!$A$5:$A$24,0)),"")</f>
        <v>Aisha Al Shamsi</v>
      </c>
      <c r="E94" s="16" t="str">
        <f aca="false">IFERROR(INDEX('Staff Master'!$D$5:$D$24,MATCH(C94,'Staff Master'!$A$5:$A$24,0)),"")</f>
        <v>Reception</v>
      </c>
      <c r="F94" s="16" t="str">
        <f aca="false">IFERROR(INDEX('Staff Master'!$E$5:$E$24,MATCH(C94,'Staff Master'!$A$5:$A$24,0)),"")</f>
        <v>Receptionist</v>
      </c>
      <c r="G94" s="10" t="s">
        <v>97</v>
      </c>
      <c r="H94" s="17" t="n">
        <f aca="false">IFERROR(INDEX('Shift Master'!$C$5:$C$16,MATCH(G94,'Shift Master'!$A$5:$A$16,0)),"")</f>
        <v>0</v>
      </c>
      <c r="I94" s="17" t="n">
        <f aca="false">IFERROR(INDEX('Shift Master'!$D$5:$D$16,MATCH(G94,'Shift Master'!$A$5:$A$16,0)),"")</f>
        <v>0</v>
      </c>
      <c r="J94" s="16" t="n">
        <f aca="false">IFERROR(INDEX('Shift Master'!$E$5:$E$16,MATCH(G94,'Shift Master'!$A$5:$A$16,0)),"")</f>
        <v>0</v>
      </c>
      <c r="K94" s="16" t="n">
        <f aca="false">IFERROR(INDEX('Shift Master'!$G$5:$G$16,MATCH(G94,'Shift Master'!$A$5:$A$16,0)),0)</f>
        <v>0</v>
      </c>
      <c r="L94" s="16" t="s">
        <v>228</v>
      </c>
      <c r="M94" s="16" t="s">
        <v>229</v>
      </c>
      <c r="N94" s="16" t="str">
        <f aca="false">IF(COUNTIFS('Staffing Coverage'!$A$5:$A$12,E94,'Staffing Coverage'!$B$5:$B$12,G94)=0,"",IF(COUNTIFS($A$5:$A$10004,A94,$E$5:$E$10004,E94,$G$5:$G$10004,G94)&lt;INDEX('Staffing Coverage'!$C$5:$C$12,MATCH(1,('Staffing Coverage'!$A$5:$A$12=E94)*('Staffing Coverage'!$B$5:$B$12=G94),0)),"SHORT","OK"))</f>
        <v/>
      </c>
    </row>
    <row r="95" customFormat="false" ht="15" hidden="false" customHeight="false" outlineLevel="0" collapsed="false">
      <c r="A95" s="15" t="n">
        <v>46300</v>
      </c>
      <c r="B95" s="16" t="str">
        <f aca="false">TEXT(A95,"ddd")</f>
        <v>Mon</v>
      </c>
      <c r="C95" s="10" t="s">
        <v>179</v>
      </c>
      <c r="D95" s="16" t="str">
        <f aca="false">IFERROR(INDEX('Staff Master'!$B$5:$B$24,MATCH(C95,'Staff Master'!$A$5:$A$24,0)),"")</f>
        <v>John Dsouza</v>
      </c>
      <c r="E95" s="16" t="str">
        <f aca="false">IFERROR(INDEX('Staff Master'!$D$5:$D$24,MATCH(C95,'Staff Master'!$A$5:$A$24,0)),"")</f>
        <v>Reception</v>
      </c>
      <c r="F95" s="16" t="str">
        <f aca="false">IFERROR(INDEX('Staff Master'!$E$5:$E$24,MATCH(C95,'Staff Master'!$A$5:$A$24,0)),"")</f>
        <v>Receptionist</v>
      </c>
      <c r="G95" s="10" t="s">
        <v>90</v>
      </c>
      <c r="H95" s="17" t="n">
        <f aca="false">IFERROR(INDEX('Shift Master'!$C$5:$C$16,MATCH(G95,'Shift Master'!$A$5:$A$16,0)),"")</f>
        <v>0.375</v>
      </c>
      <c r="I95" s="17" t="n">
        <f aca="false">IFERROR(INDEX('Shift Master'!$D$5:$D$16,MATCH(G95,'Shift Master'!$A$5:$A$16,0)),"")</f>
        <v>0.75</v>
      </c>
      <c r="J95" s="16" t="n">
        <f aca="false">IFERROR(INDEX('Shift Master'!$E$5:$E$16,MATCH(G95,'Shift Master'!$A$5:$A$16,0)),"")</f>
        <v>60</v>
      </c>
      <c r="K95" s="16" t="n">
        <f aca="false">IFERROR(INDEX('Shift Master'!$G$5:$G$16,MATCH(G95,'Shift Master'!$A$5:$A$16,0)),0)</f>
        <v>8</v>
      </c>
      <c r="L95" s="16" t="s">
        <v>228</v>
      </c>
      <c r="M95" s="16" t="s">
        <v>229</v>
      </c>
      <c r="N95" s="16" t="str">
        <f aca="false">IF(COUNTIFS('Staffing Coverage'!$A$5:$A$12,E95,'Staffing Coverage'!$B$5:$B$12,G95)=0,"",IF(COUNTIFS($A$5:$A$10004,A95,$E$5:$E$10004,E95,$G$5:$G$10004,G95)&lt;INDEX('Staffing Coverage'!$C$5:$C$12,MATCH(1,('Staffing Coverage'!$A$5:$A$12=E95)*('Staffing Coverage'!$B$5:$B$12=G95),0)),"SHORT","OK"))</f>
        <v>SHORT</v>
      </c>
    </row>
    <row r="96" customFormat="false" ht="15" hidden="false" customHeight="false" outlineLevel="0" collapsed="false">
      <c r="A96" s="15" t="n">
        <v>46300</v>
      </c>
      <c r="B96" s="16" t="str">
        <f aca="false">TEXT(A96,"ddd")</f>
        <v>Mon</v>
      </c>
      <c r="C96" s="10" t="s">
        <v>184</v>
      </c>
      <c r="D96" s="16" t="str">
        <f aca="false">IFERROR(INDEX('Staff Master'!$B$5:$B$24,MATCH(C96,'Staff Master'!$A$5:$A$24,0)),"")</f>
        <v>Fatima Zahra</v>
      </c>
      <c r="E96" s="16" t="str">
        <f aca="false">IFERROR(INDEX('Staff Master'!$D$5:$D$24,MATCH(C96,'Staff Master'!$A$5:$A$24,0)),"")</f>
        <v>Reception</v>
      </c>
      <c r="F96" s="16" t="str">
        <f aca="false">IFERROR(INDEX('Staff Master'!$E$5:$E$24,MATCH(C96,'Staff Master'!$A$5:$A$24,0)),"")</f>
        <v>Receptionist</v>
      </c>
      <c r="G96" s="10" t="s">
        <v>94</v>
      </c>
      <c r="H96" s="17" t="n">
        <f aca="false">IFERROR(INDEX('Shift Master'!$C$5:$C$16,MATCH(G96,'Shift Master'!$A$5:$A$16,0)),"")</f>
        <v>0.541666666666667</v>
      </c>
      <c r="I96" s="17" t="n">
        <f aca="false">IFERROR(INDEX('Shift Master'!$D$5:$D$16,MATCH(G96,'Shift Master'!$A$5:$A$16,0)),"")</f>
        <v>0.916666666666667</v>
      </c>
      <c r="J96" s="16" t="n">
        <f aca="false">IFERROR(INDEX('Shift Master'!$E$5:$E$16,MATCH(G96,'Shift Master'!$A$5:$A$16,0)),"")</f>
        <v>60</v>
      </c>
      <c r="K96" s="16" t="n">
        <f aca="false">IFERROR(INDEX('Shift Master'!$G$5:$G$16,MATCH(G96,'Shift Master'!$A$5:$A$16,0)),0)</f>
        <v>8</v>
      </c>
      <c r="L96" s="16" t="s">
        <v>228</v>
      </c>
      <c r="M96" s="16" t="s">
        <v>229</v>
      </c>
      <c r="N96" s="16" t="str">
        <f aca="false">IF(COUNTIFS('Staffing Coverage'!$A$5:$A$12,E96,'Staffing Coverage'!$B$5:$B$12,G96)=0,"",IF(COUNTIFS($A$5:$A$10004,A96,$E$5:$E$10004,E96,$G$5:$G$10004,G96)&lt;INDEX('Staffing Coverage'!$C$5:$C$12,MATCH(1,('Staffing Coverage'!$A$5:$A$12=E96)*('Staffing Coverage'!$B$5:$B$12=G96),0)),"SHORT","OK"))</f>
        <v>OK</v>
      </c>
    </row>
    <row r="97" customFormat="false" ht="15" hidden="false" customHeight="false" outlineLevel="0" collapsed="false">
      <c r="A97" s="15" t="n">
        <v>46300</v>
      </c>
      <c r="B97" s="16" t="str">
        <f aca="false">TEXT(A97,"ddd")</f>
        <v>Mon</v>
      </c>
      <c r="C97" s="10" t="s">
        <v>188</v>
      </c>
      <c r="D97" s="16" t="str">
        <f aca="false">IFERROR(INDEX('Staff Master'!$B$5:$B$24,MATCH(C97,'Staff Master'!$A$5:$A$24,0)),"")</f>
        <v>Ana Reyes</v>
      </c>
      <c r="E97" s="16" t="str">
        <f aca="false">IFERROR(INDEX('Staff Master'!$D$5:$D$24,MATCH(C97,'Staff Master'!$A$5:$A$24,0)),"")</f>
        <v>Dental</v>
      </c>
      <c r="F97" s="16" t="str">
        <f aca="false">IFERROR(INDEX('Staff Master'!$E$5:$E$24,MATCH(C97,'Staff Master'!$A$5:$A$24,0)),"")</f>
        <v>Dental Assistant</v>
      </c>
      <c r="G97" s="10" t="s">
        <v>87</v>
      </c>
      <c r="H97" s="17" t="n">
        <f aca="false">IFERROR(INDEX('Shift Master'!$C$5:$C$16,MATCH(G97,'Shift Master'!$A$5:$A$16,0)),"")</f>
        <v>0.333333333333333</v>
      </c>
      <c r="I97" s="17" t="n">
        <f aca="false">IFERROR(INDEX('Shift Master'!$D$5:$D$16,MATCH(G97,'Shift Master'!$A$5:$A$16,0)),"")</f>
        <v>0.708333333333333</v>
      </c>
      <c r="J97" s="16" t="n">
        <f aca="false">IFERROR(INDEX('Shift Master'!$E$5:$E$16,MATCH(G97,'Shift Master'!$A$5:$A$16,0)),"")</f>
        <v>60</v>
      </c>
      <c r="K97" s="16" t="n">
        <f aca="false">IFERROR(INDEX('Shift Master'!$G$5:$G$16,MATCH(G97,'Shift Master'!$A$5:$A$16,0)),0)</f>
        <v>8</v>
      </c>
      <c r="L97" s="16" t="s">
        <v>228</v>
      </c>
      <c r="M97" s="16" t="s">
        <v>229</v>
      </c>
      <c r="N97" s="16" t="str">
        <f aca="false">IF(COUNTIFS('Staffing Coverage'!$A$5:$A$12,E97,'Staffing Coverage'!$B$5:$B$12,G97)=0,"",IF(COUNTIFS($A$5:$A$10004,A97,$E$5:$E$10004,E97,$G$5:$G$10004,G97)&lt;INDEX('Staffing Coverage'!$C$5:$C$12,MATCH(1,('Staffing Coverage'!$A$5:$A$12=E97)*('Staffing Coverage'!$B$5:$B$12=G97),0)),"SHORT","OK"))</f>
        <v>OK</v>
      </c>
    </row>
    <row r="98" customFormat="false" ht="15" hidden="false" customHeight="false" outlineLevel="0" collapsed="false">
      <c r="A98" s="15" t="n">
        <v>46300</v>
      </c>
      <c r="B98" s="16" t="str">
        <f aca="false">TEXT(A98,"ddd")</f>
        <v>Mon</v>
      </c>
      <c r="C98" s="10" t="s">
        <v>192</v>
      </c>
      <c r="D98" s="16" t="str">
        <f aca="false">IFERROR(INDEX('Staff Master'!$B$5:$B$24,MATCH(C98,'Staff Master'!$A$5:$A$24,0)),"")</f>
        <v>Noor Hassan</v>
      </c>
      <c r="E98" s="16" t="str">
        <f aca="false">IFERROR(INDEX('Staff Master'!$D$5:$D$24,MATCH(C98,'Staff Master'!$A$5:$A$24,0)),"")</f>
        <v>Dental</v>
      </c>
      <c r="F98" s="16" t="str">
        <f aca="false">IFERROR(INDEX('Staff Master'!$E$5:$E$24,MATCH(C98,'Staff Master'!$A$5:$A$24,0)),"")</f>
        <v>Dental Assistant</v>
      </c>
      <c r="G98" s="10" t="s">
        <v>90</v>
      </c>
      <c r="H98" s="17" t="n">
        <f aca="false">IFERROR(INDEX('Shift Master'!$C$5:$C$16,MATCH(G98,'Shift Master'!$A$5:$A$16,0)),"")</f>
        <v>0.375</v>
      </c>
      <c r="I98" s="17" t="n">
        <f aca="false">IFERROR(INDEX('Shift Master'!$D$5:$D$16,MATCH(G98,'Shift Master'!$A$5:$A$16,0)),"")</f>
        <v>0.75</v>
      </c>
      <c r="J98" s="16" t="n">
        <f aca="false">IFERROR(INDEX('Shift Master'!$E$5:$E$16,MATCH(G98,'Shift Master'!$A$5:$A$16,0)),"")</f>
        <v>60</v>
      </c>
      <c r="K98" s="16" t="n">
        <f aca="false">IFERROR(INDEX('Shift Master'!$G$5:$G$16,MATCH(G98,'Shift Master'!$A$5:$A$16,0)),0)</f>
        <v>8</v>
      </c>
      <c r="L98" s="16" t="s">
        <v>228</v>
      </c>
      <c r="M98" s="16" t="s">
        <v>229</v>
      </c>
      <c r="N98" s="16" t="str">
        <f aca="false">IF(COUNTIFS('Staffing Coverage'!$A$5:$A$12,E98,'Staffing Coverage'!$B$5:$B$12,G98)=0,"",IF(COUNTIFS($A$5:$A$10004,A98,$E$5:$E$10004,E98,$G$5:$G$10004,G98)&lt;INDEX('Staffing Coverage'!$C$5:$C$12,MATCH(1,('Staffing Coverage'!$A$5:$A$12=E98)*('Staffing Coverage'!$B$5:$B$12=G98),0)),"SHORT","OK"))</f>
        <v/>
      </c>
    </row>
    <row r="99" customFormat="false" ht="15" hidden="false" customHeight="false" outlineLevel="0" collapsed="false">
      <c r="A99" s="15" t="n">
        <v>46300</v>
      </c>
      <c r="B99" s="16" t="str">
        <f aca="false">TEXT(A99,"ddd")</f>
        <v>Mon</v>
      </c>
      <c r="C99" s="10" t="s">
        <v>196</v>
      </c>
      <c r="D99" s="16" t="str">
        <f aca="false">IFERROR(INDEX('Staff Master'!$B$5:$B$24,MATCH(C99,'Staff Master'!$A$5:$A$24,0)),"")</f>
        <v>Karan Mehta</v>
      </c>
      <c r="E99" s="16" t="str">
        <f aca="false">IFERROR(INDEX('Staff Master'!$D$5:$D$24,MATCH(C99,'Staff Master'!$A$5:$A$24,0)),"")</f>
        <v>Laser</v>
      </c>
      <c r="F99" s="16" t="str">
        <f aca="false">IFERROR(INDEX('Staff Master'!$E$5:$E$24,MATCH(C99,'Staff Master'!$A$5:$A$24,0)),"")</f>
        <v>Laser Technician</v>
      </c>
      <c r="G99" s="10" t="s">
        <v>90</v>
      </c>
      <c r="H99" s="17" t="n">
        <f aca="false">IFERROR(INDEX('Shift Master'!$C$5:$C$16,MATCH(G99,'Shift Master'!$A$5:$A$16,0)),"")</f>
        <v>0.375</v>
      </c>
      <c r="I99" s="17" t="n">
        <f aca="false">IFERROR(INDEX('Shift Master'!$D$5:$D$16,MATCH(G99,'Shift Master'!$A$5:$A$16,0)),"")</f>
        <v>0.75</v>
      </c>
      <c r="J99" s="16" t="n">
        <f aca="false">IFERROR(INDEX('Shift Master'!$E$5:$E$16,MATCH(G99,'Shift Master'!$A$5:$A$16,0)),"")</f>
        <v>60</v>
      </c>
      <c r="K99" s="16" t="n">
        <f aca="false">IFERROR(INDEX('Shift Master'!$G$5:$G$16,MATCH(G99,'Shift Master'!$A$5:$A$16,0)),0)</f>
        <v>8</v>
      </c>
      <c r="L99" s="16" t="s">
        <v>228</v>
      </c>
      <c r="M99" s="16" t="s">
        <v>229</v>
      </c>
      <c r="N99" s="16" t="str">
        <f aca="false">IF(COUNTIFS('Staffing Coverage'!$A$5:$A$12,E99,'Staffing Coverage'!$B$5:$B$12,G99)=0,"",IF(COUNTIFS($A$5:$A$10004,A99,$E$5:$E$10004,E99,$G$5:$G$10004,G99)&lt;INDEX('Staffing Coverage'!$C$5:$C$12,MATCH(1,('Staffing Coverage'!$A$5:$A$12=E99)*('Staffing Coverage'!$B$5:$B$12=G99),0)),"SHORT","OK"))</f>
        <v/>
      </c>
    </row>
    <row r="100" customFormat="false" ht="15" hidden="false" customHeight="false" outlineLevel="0" collapsed="false">
      <c r="A100" s="15" t="n">
        <v>46300</v>
      </c>
      <c r="B100" s="16" t="str">
        <f aca="false">TEXT(A100,"ddd")</f>
        <v>Mon</v>
      </c>
      <c r="C100" s="10" t="s">
        <v>200</v>
      </c>
      <c r="D100" s="16" t="str">
        <f aca="false">IFERROR(INDEX('Staff Master'!$B$5:$B$24,MATCH(C100,'Staff Master'!$A$5:$A$24,0)),"")</f>
        <v>Imran Sheikh</v>
      </c>
      <c r="E100" s="16" t="str">
        <f aca="false">IFERROR(INDEX('Staff Master'!$D$5:$D$24,MATCH(C100,'Staff Master'!$A$5:$A$24,0)),"")</f>
        <v>Dental Laboratory</v>
      </c>
      <c r="F100" s="16" t="str">
        <f aca="false">IFERROR(INDEX('Staff Master'!$E$5:$E$24,MATCH(C100,'Staff Master'!$A$5:$A$24,0)),"")</f>
        <v>Dental Technician</v>
      </c>
      <c r="G100" s="10" t="s">
        <v>87</v>
      </c>
      <c r="H100" s="17" t="n">
        <f aca="false">IFERROR(INDEX('Shift Master'!$C$5:$C$16,MATCH(G100,'Shift Master'!$A$5:$A$16,0)),"")</f>
        <v>0.333333333333333</v>
      </c>
      <c r="I100" s="17" t="n">
        <f aca="false">IFERROR(INDEX('Shift Master'!$D$5:$D$16,MATCH(G100,'Shift Master'!$A$5:$A$16,0)),"")</f>
        <v>0.708333333333333</v>
      </c>
      <c r="J100" s="16" t="n">
        <f aca="false">IFERROR(INDEX('Shift Master'!$E$5:$E$16,MATCH(G100,'Shift Master'!$A$5:$A$16,0)),"")</f>
        <v>60</v>
      </c>
      <c r="K100" s="16" t="n">
        <f aca="false">IFERROR(INDEX('Shift Master'!$G$5:$G$16,MATCH(G100,'Shift Master'!$A$5:$A$16,0)),0)</f>
        <v>8</v>
      </c>
      <c r="L100" s="16" t="s">
        <v>228</v>
      </c>
      <c r="M100" s="16" t="s">
        <v>229</v>
      </c>
      <c r="N100" s="16" t="str">
        <f aca="false">IF(COUNTIFS('Staffing Coverage'!$A$5:$A$12,E100,'Staffing Coverage'!$B$5:$B$12,G100)=0,"",IF(COUNTIFS($A$5:$A$10004,A100,$E$5:$E$10004,E100,$G$5:$G$10004,G100)&lt;INDEX('Staffing Coverage'!$C$5:$C$12,MATCH(1,('Staffing Coverage'!$A$5:$A$12=E100)*('Staffing Coverage'!$B$5:$B$12=G100),0)),"SHORT","OK"))</f>
        <v/>
      </c>
    </row>
    <row r="101" customFormat="false" ht="15" hidden="false" customHeight="false" outlineLevel="0" collapsed="false">
      <c r="A101" s="15" t="n">
        <v>46300</v>
      </c>
      <c r="B101" s="16" t="str">
        <f aca="false">TEXT(A101,"ddd")</f>
        <v>Mon</v>
      </c>
      <c r="C101" s="10" t="s">
        <v>204</v>
      </c>
      <c r="D101" s="16" t="str">
        <f aca="false">IFERROR(INDEX('Staff Master'!$B$5:$B$24,MATCH(C101,'Staff Master'!$A$5:$A$24,0)),"")</f>
        <v>Josephine Cruz</v>
      </c>
      <c r="E101" s="16" t="str">
        <f aca="false">IFERROR(INDEX('Staff Master'!$D$5:$D$24,MATCH(C101,'Staff Master'!$A$5:$A$24,0)),"")</f>
        <v>CSSD</v>
      </c>
      <c r="F101" s="16" t="str">
        <f aca="false">IFERROR(INDEX('Staff Master'!$E$5:$E$24,MATCH(C101,'Staff Master'!$A$5:$A$24,0)),"")</f>
        <v>CSSD Technician</v>
      </c>
      <c r="G101" s="10" t="s">
        <v>87</v>
      </c>
      <c r="H101" s="17" t="n">
        <f aca="false">IFERROR(INDEX('Shift Master'!$C$5:$C$16,MATCH(G101,'Shift Master'!$A$5:$A$16,0)),"")</f>
        <v>0.333333333333333</v>
      </c>
      <c r="I101" s="17" t="n">
        <f aca="false">IFERROR(INDEX('Shift Master'!$D$5:$D$16,MATCH(G101,'Shift Master'!$A$5:$A$16,0)),"")</f>
        <v>0.708333333333333</v>
      </c>
      <c r="J101" s="16" t="n">
        <f aca="false">IFERROR(INDEX('Shift Master'!$E$5:$E$16,MATCH(G101,'Shift Master'!$A$5:$A$16,0)),"")</f>
        <v>60</v>
      </c>
      <c r="K101" s="16" t="n">
        <f aca="false">IFERROR(INDEX('Shift Master'!$G$5:$G$16,MATCH(G101,'Shift Master'!$A$5:$A$16,0)),0)</f>
        <v>8</v>
      </c>
      <c r="L101" s="16" t="s">
        <v>228</v>
      </c>
      <c r="M101" s="16" t="s">
        <v>229</v>
      </c>
      <c r="N101" s="16" t="str">
        <f aca="false">IF(COUNTIFS('Staffing Coverage'!$A$5:$A$12,E101,'Staffing Coverage'!$B$5:$B$12,G101)=0,"",IF(COUNTIFS($A$5:$A$10004,A101,$E$5:$E$10004,E101,$G$5:$G$10004,G101)&lt;INDEX('Staffing Coverage'!$C$5:$C$12,MATCH(1,('Staffing Coverage'!$A$5:$A$12=E101)*('Staffing Coverage'!$B$5:$B$12=G101),0)),"SHORT","OK"))</f>
        <v>OK</v>
      </c>
    </row>
    <row r="102" customFormat="false" ht="15" hidden="false" customHeight="false" outlineLevel="0" collapsed="false">
      <c r="A102" s="15" t="n">
        <v>46300</v>
      </c>
      <c r="B102" s="16" t="str">
        <f aca="false">TEXT(A102,"ddd")</f>
        <v>Mon</v>
      </c>
      <c r="C102" s="10" t="s">
        <v>208</v>
      </c>
      <c r="D102" s="16" t="str">
        <f aca="false">IFERROR(INDEX('Staff Master'!$B$5:$B$24,MATCH(C102,'Staff Master'!$A$5:$A$24,0)),"")</f>
        <v>Rosalyn Tan</v>
      </c>
      <c r="E102" s="16" t="str">
        <f aca="false">IFERROR(INDEX('Staff Master'!$D$5:$D$24,MATCH(C102,'Staff Master'!$A$5:$A$24,0)),"")</f>
        <v>Cleaning</v>
      </c>
      <c r="F102" s="16" t="str">
        <f aca="false">IFERROR(INDEX('Staff Master'!$E$5:$E$24,MATCH(C102,'Staff Master'!$A$5:$A$24,0)),"")</f>
        <v>Cleaner</v>
      </c>
      <c r="G102" s="10" t="s">
        <v>87</v>
      </c>
      <c r="H102" s="17" t="n">
        <f aca="false">IFERROR(INDEX('Shift Master'!$C$5:$C$16,MATCH(G102,'Shift Master'!$A$5:$A$16,0)),"")</f>
        <v>0.333333333333333</v>
      </c>
      <c r="I102" s="17" t="n">
        <f aca="false">IFERROR(INDEX('Shift Master'!$D$5:$D$16,MATCH(G102,'Shift Master'!$A$5:$A$16,0)),"")</f>
        <v>0.708333333333333</v>
      </c>
      <c r="J102" s="16" t="n">
        <f aca="false">IFERROR(INDEX('Shift Master'!$E$5:$E$16,MATCH(G102,'Shift Master'!$A$5:$A$16,0)),"")</f>
        <v>60</v>
      </c>
      <c r="K102" s="16" t="n">
        <f aca="false">IFERROR(INDEX('Shift Master'!$G$5:$G$16,MATCH(G102,'Shift Master'!$A$5:$A$16,0)),0)</f>
        <v>8</v>
      </c>
      <c r="L102" s="16" t="s">
        <v>228</v>
      </c>
      <c r="M102" s="16" t="s">
        <v>229</v>
      </c>
      <c r="N102" s="16" t="str">
        <f aca="false">IF(COUNTIFS('Staffing Coverage'!$A$5:$A$12,E102,'Staffing Coverage'!$B$5:$B$12,G102)=0,"",IF(COUNTIFS($A$5:$A$10004,A102,$E$5:$E$10004,E102,$G$5:$G$10004,G102)&lt;INDEX('Staffing Coverage'!$C$5:$C$12,MATCH(1,('Staffing Coverage'!$A$5:$A$12=E102)*('Staffing Coverage'!$B$5:$B$12=G102),0)),"SHORT","OK"))</f>
        <v>OK</v>
      </c>
    </row>
    <row r="103" customFormat="false" ht="15" hidden="false" customHeight="false" outlineLevel="0" collapsed="false">
      <c r="A103" s="15" t="n">
        <v>46300</v>
      </c>
      <c r="B103" s="16" t="str">
        <f aca="false">TEXT(A103,"ddd")</f>
        <v>Mon</v>
      </c>
      <c r="C103" s="10" t="s">
        <v>212</v>
      </c>
      <c r="D103" s="16" t="str">
        <f aca="false">IFERROR(INDEX('Staff Master'!$B$5:$B$24,MATCH(C103,'Staff Master'!$A$5:$A$24,0)),"")</f>
        <v>Hassan Baig</v>
      </c>
      <c r="E103" s="16" t="str">
        <f aca="false">IFERROR(INDEX('Staff Master'!$D$5:$D$24,MATCH(C103,'Staff Master'!$A$5:$A$24,0)),"")</f>
        <v>Facilities</v>
      </c>
      <c r="F103" s="16" t="str">
        <f aca="false">IFERROR(INDEX('Staff Master'!$E$5:$E$24,MATCH(C103,'Staff Master'!$A$5:$A$24,0)),"")</f>
        <v>Facility Manager</v>
      </c>
      <c r="G103" s="10" t="s">
        <v>90</v>
      </c>
      <c r="H103" s="17" t="n">
        <f aca="false">IFERROR(INDEX('Shift Master'!$C$5:$C$16,MATCH(G103,'Shift Master'!$A$5:$A$16,0)),"")</f>
        <v>0.375</v>
      </c>
      <c r="I103" s="17" t="n">
        <f aca="false">IFERROR(INDEX('Shift Master'!$D$5:$D$16,MATCH(G103,'Shift Master'!$A$5:$A$16,0)),"")</f>
        <v>0.75</v>
      </c>
      <c r="J103" s="16" t="n">
        <f aca="false">IFERROR(INDEX('Shift Master'!$E$5:$E$16,MATCH(G103,'Shift Master'!$A$5:$A$16,0)),"")</f>
        <v>60</v>
      </c>
      <c r="K103" s="16" t="n">
        <f aca="false">IFERROR(INDEX('Shift Master'!$G$5:$G$16,MATCH(G103,'Shift Master'!$A$5:$A$16,0)),0)</f>
        <v>8</v>
      </c>
      <c r="L103" s="16" t="s">
        <v>228</v>
      </c>
      <c r="M103" s="16" t="s">
        <v>229</v>
      </c>
      <c r="N103" s="16" t="str">
        <f aca="false">IF(COUNTIFS('Staffing Coverage'!$A$5:$A$12,E103,'Staffing Coverage'!$B$5:$B$12,G103)=0,"",IF(COUNTIFS($A$5:$A$10004,A103,$E$5:$E$10004,E103,$G$5:$G$10004,G103)&lt;INDEX('Staffing Coverage'!$C$5:$C$12,MATCH(1,('Staffing Coverage'!$A$5:$A$12=E103)*('Staffing Coverage'!$B$5:$B$12=G103),0)),"SHORT","OK"))</f>
        <v/>
      </c>
    </row>
    <row r="104" customFormat="false" ht="15" hidden="false" customHeight="false" outlineLevel="0" collapsed="false">
      <c r="A104" s="15" t="n">
        <v>46300</v>
      </c>
      <c r="B104" s="16" t="str">
        <f aca="false">TEXT(A104,"ddd")</f>
        <v>Mon</v>
      </c>
      <c r="C104" s="10" t="s">
        <v>178</v>
      </c>
      <c r="D104" s="16" t="str">
        <f aca="false">IFERROR(INDEX('Staff Master'!$B$5:$B$24,MATCH(C104,'Staff Master'!$A$5:$A$24,0)),"")</f>
        <v>Meera Pillai</v>
      </c>
      <c r="E104" s="16" t="str">
        <f aca="false">IFERROR(INDEX('Staff Master'!$D$5:$D$24,MATCH(C104,'Staff Master'!$A$5:$A$24,0)),"")</f>
        <v>HR</v>
      </c>
      <c r="F104" s="16" t="str">
        <f aca="false">IFERROR(INDEX('Staff Master'!$E$5:$E$24,MATCH(C104,'Staff Master'!$A$5:$A$24,0)),"")</f>
        <v>HR Executive</v>
      </c>
      <c r="G104" s="10" t="s">
        <v>90</v>
      </c>
      <c r="H104" s="17" t="n">
        <f aca="false">IFERROR(INDEX('Shift Master'!$C$5:$C$16,MATCH(G104,'Shift Master'!$A$5:$A$16,0)),"")</f>
        <v>0.375</v>
      </c>
      <c r="I104" s="17" t="n">
        <f aca="false">IFERROR(INDEX('Shift Master'!$D$5:$D$16,MATCH(G104,'Shift Master'!$A$5:$A$16,0)),"")</f>
        <v>0.75</v>
      </c>
      <c r="J104" s="16" t="n">
        <f aca="false">IFERROR(INDEX('Shift Master'!$E$5:$E$16,MATCH(G104,'Shift Master'!$A$5:$A$16,0)),"")</f>
        <v>60</v>
      </c>
      <c r="K104" s="16" t="n">
        <f aca="false">IFERROR(INDEX('Shift Master'!$G$5:$G$16,MATCH(G104,'Shift Master'!$A$5:$A$16,0)),0)</f>
        <v>8</v>
      </c>
      <c r="L104" s="16" t="s">
        <v>228</v>
      </c>
      <c r="M104" s="16" t="s">
        <v>229</v>
      </c>
      <c r="N104" s="16" t="str">
        <f aca="false">IF(COUNTIFS('Staffing Coverage'!$A$5:$A$12,E104,'Staffing Coverage'!$B$5:$B$12,G104)=0,"",IF(COUNTIFS($A$5:$A$10004,A104,$E$5:$E$10004,E104,$G$5:$G$10004,G104)&lt;INDEX('Staffing Coverage'!$C$5:$C$12,MATCH(1,('Staffing Coverage'!$A$5:$A$12=E104)*('Staffing Coverage'!$B$5:$B$12=G104),0)),"SHORT","OK"))</f>
        <v/>
      </c>
    </row>
    <row r="105" customFormat="false" ht="15" hidden="false" customHeight="false" outlineLevel="0" collapsed="false">
      <c r="A105" s="15" t="n">
        <v>46301</v>
      </c>
      <c r="B105" s="16" t="str">
        <f aca="false">TEXT(A105,"ddd")</f>
        <v>Tue</v>
      </c>
      <c r="C105" s="10" t="s">
        <v>128</v>
      </c>
      <c r="D105" s="16" t="str">
        <f aca="false">IFERROR(INDEX('Staff Master'!$B$5:$B$24,MATCH(C105,'Staff Master'!$A$5:$A$24,0)),"")</f>
        <v>Rashid Al Nuaimi</v>
      </c>
      <c r="E105" s="16" t="str">
        <f aca="false">IFERROR(INDEX('Staff Master'!$D$5:$D$24,MATCH(C105,'Staff Master'!$A$5:$A$24,0)),"")</f>
        <v>Management</v>
      </c>
      <c r="F105" s="16" t="str">
        <f aca="false">IFERROR(INDEX('Staff Master'!$E$5:$E$24,MATCH(C105,'Staff Master'!$A$5:$A$24,0)),"")</f>
        <v>CEO</v>
      </c>
      <c r="G105" s="10" t="s">
        <v>90</v>
      </c>
      <c r="H105" s="17" t="n">
        <f aca="false">IFERROR(INDEX('Shift Master'!$C$5:$C$16,MATCH(G105,'Shift Master'!$A$5:$A$16,0)),"")</f>
        <v>0.375</v>
      </c>
      <c r="I105" s="17" t="n">
        <f aca="false">IFERROR(INDEX('Shift Master'!$D$5:$D$16,MATCH(G105,'Shift Master'!$A$5:$A$16,0)),"")</f>
        <v>0.75</v>
      </c>
      <c r="J105" s="16" t="n">
        <f aca="false">IFERROR(INDEX('Shift Master'!$E$5:$E$16,MATCH(G105,'Shift Master'!$A$5:$A$16,0)),"")</f>
        <v>60</v>
      </c>
      <c r="K105" s="16" t="n">
        <f aca="false">IFERROR(INDEX('Shift Master'!$G$5:$G$16,MATCH(G105,'Shift Master'!$A$5:$A$16,0)),0)</f>
        <v>8</v>
      </c>
      <c r="L105" s="16" t="s">
        <v>228</v>
      </c>
      <c r="M105" s="16" t="s">
        <v>229</v>
      </c>
      <c r="N105" s="16" t="str">
        <f aca="false">IF(COUNTIFS('Staffing Coverage'!$A$5:$A$12,E105,'Staffing Coverage'!$B$5:$B$12,G105)=0,"",IF(COUNTIFS($A$5:$A$10004,A105,$E$5:$E$10004,E105,$G$5:$G$10004,G105)&lt;INDEX('Staffing Coverage'!$C$5:$C$12,MATCH(1,('Staffing Coverage'!$A$5:$A$12=E105)*('Staffing Coverage'!$B$5:$B$12=G105),0)),"SHORT","OK"))</f>
        <v/>
      </c>
    </row>
    <row r="106" customFormat="false" ht="15" hidden="false" customHeight="false" outlineLevel="0" collapsed="false">
      <c r="A106" s="15" t="n">
        <v>46301</v>
      </c>
      <c r="B106" s="16" t="str">
        <f aca="false">TEXT(A106,"ddd")</f>
        <v>Tue</v>
      </c>
      <c r="C106" s="10" t="s">
        <v>137</v>
      </c>
      <c r="D106" s="16" t="str">
        <f aca="false">IFERROR(INDEX('Staff Master'!$B$5:$B$24,MATCH(C106,'Staff Master'!$A$5:$A$24,0)),"")</f>
        <v>Dr. Sara Haddad</v>
      </c>
      <c r="E106" s="16" t="str">
        <f aca="false">IFERROR(INDEX('Staff Master'!$D$5:$D$24,MATCH(C106,'Staff Master'!$A$5:$A$24,0)),"")</f>
        <v>General Practice</v>
      </c>
      <c r="F106" s="16" t="str">
        <f aca="false">IFERROR(INDEX('Staff Master'!$E$5:$E$24,MATCH(C106,'Staff Master'!$A$5:$A$24,0)),"")</f>
        <v>Medical Director</v>
      </c>
      <c r="G106" s="10" t="s">
        <v>96</v>
      </c>
      <c r="H106" s="17" t="n">
        <f aca="false">IFERROR(INDEX('Shift Master'!$C$5:$C$16,MATCH(G106,'Shift Master'!$A$5:$A$16,0)),"")</f>
        <v>0.375</v>
      </c>
      <c r="I106" s="17" t="n">
        <f aca="false">IFERROR(INDEX('Shift Master'!$D$5:$D$16,MATCH(G106,'Shift Master'!$A$5:$A$16,0)),"")</f>
        <v>0.708333333333333</v>
      </c>
      <c r="J106" s="16" t="n">
        <f aca="false">IFERROR(INDEX('Shift Master'!$E$5:$E$16,MATCH(G106,'Shift Master'!$A$5:$A$16,0)),"")</f>
        <v>60</v>
      </c>
      <c r="K106" s="16" t="n">
        <f aca="false">IFERROR(INDEX('Shift Master'!$G$5:$G$16,MATCH(G106,'Shift Master'!$A$5:$A$16,0)),0)</f>
        <v>7</v>
      </c>
      <c r="L106" s="16" t="s">
        <v>228</v>
      </c>
      <c r="M106" s="16" t="s">
        <v>229</v>
      </c>
      <c r="N106" s="16" t="str">
        <f aca="false">IF(COUNTIFS('Staffing Coverage'!$A$5:$A$12,E106,'Staffing Coverage'!$B$5:$B$12,G106)=0,"",IF(COUNTIFS($A$5:$A$10004,A106,$E$5:$E$10004,E106,$G$5:$G$10004,G106)&lt;INDEX('Staffing Coverage'!$C$5:$C$12,MATCH(1,('Staffing Coverage'!$A$5:$A$12=E106)*('Staffing Coverage'!$B$5:$B$12=G106),0)),"SHORT","OK"))</f>
        <v/>
      </c>
    </row>
    <row r="107" customFormat="false" ht="15" hidden="false" customHeight="false" outlineLevel="0" collapsed="false">
      <c r="A107" s="15" t="n">
        <v>46301</v>
      </c>
      <c r="B107" s="16" t="str">
        <f aca="false">TEXT(A107,"ddd")</f>
        <v>Tue</v>
      </c>
      <c r="C107" s="10" t="s">
        <v>142</v>
      </c>
      <c r="D107" s="16" t="str">
        <f aca="false">IFERROR(INDEX('Staff Master'!$B$5:$B$24,MATCH(C107,'Staff Master'!$A$5:$A$24,0)),"")</f>
        <v>Dr. Omar Khalil</v>
      </c>
      <c r="E107" s="16" t="str">
        <f aca="false">IFERROR(INDEX('Staff Master'!$D$5:$D$24,MATCH(C107,'Staff Master'!$A$5:$A$24,0)),"")</f>
        <v>General Practice</v>
      </c>
      <c r="F107" s="16" t="str">
        <f aca="false">IFERROR(INDEX('Staff Master'!$E$5:$E$24,MATCH(C107,'Staff Master'!$A$5:$A$24,0)),"")</f>
        <v>Doctor</v>
      </c>
      <c r="G107" s="10" t="s">
        <v>96</v>
      </c>
      <c r="H107" s="17" t="n">
        <f aca="false">IFERROR(INDEX('Shift Master'!$C$5:$C$16,MATCH(G107,'Shift Master'!$A$5:$A$16,0)),"")</f>
        <v>0.375</v>
      </c>
      <c r="I107" s="17" t="n">
        <f aca="false">IFERROR(INDEX('Shift Master'!$D$5:$D$16,MATCH(G107,'Shift Master'!$A$5:$A$16,0)),"")</f>
        <v>0.708333333333333</v>
      </c>
      <c r="J107" s="16" t="n">
        <f aca="false">IFERROR(INDEX('Shift Master'!$E$5:$E$16,MATCH(G107,'Shift Master'!$A$5:$A$16,0)),"")</f>
        <v>60</v>
      </c>
      <c r="K107" s="16" t="n">
        <f aca="false">IFERROR(INDEX('Shift Master'!$G$5:$G$16,MATCH(G107,'Shift Master'!$A$5:$A$16,0)),0)</f>
        <v>7</v>
      </c>
      <c r="L107" s="16" t="s">
        <v>228</v>
      </c>
      <c r="M107" s="16" t="s">
        <v>229</v>
      </c>
      <c r="N107" s="16" t="str">
        <f aca="false">IF(COUNTIFS('Staffing Coverage'!$A$5:$A$12,E107,'Staffing Coverage'!$B$5:$B$12,G107)=0,"",IF(COUNTIFS($A$5:$A$10004,A107,$E$5:$E$10004,E107,$G$5:$G$10004,G107)&lt;INDEX('Staffing Coverage'!$C$5:$C$12,MATCH(1,('Staffing Coverage'!$A$5:$A$12=E107)*('Staffing Coverage'!$B$5:$B$12=G107),0)),"SHORT","OK"))</f>
        <v/>
      </c>
    </row>
    <row r="108" customFormat="false" ht="15" hidden="false" customHeight="false" outlineLevel="0" collapsed="false">
      <c r="A108" s="15" t="n">
        <v>46301</v>
      </c>
      <c r="B108" s="16" t="str">
        <f aca="false">TEXT(A108,"ddd")</f>
        <v>Tue</v>
      </c>
      <c r="C108" s="10" t="s">
        <v>146</v>
      </c>
      <c r="D108" s="16" t="str">
        <f aca="false">IFERROR(INDEX('Staff Master'!$B$5:$B$24,MATCH(C108,'Staff Master'!$A$5:$A$24,0)),"")</f>
        <v>Dr. Lina Abboud</v>
      </c>
      <c r="E108" s="16" t="str">
        <f aca="false">IFERROR(INDEX('Staff Master'!$D$5:$D$24,MATCH(C108,'Staff Master'!$A$5:$A$24,0)),"")</f>
        <v>Dental</v>
      </c>
      <c r="F108" s="16" t="str">
        <f aca="false">IFERROR(INDEX('Staff Master'!$E$5:$E$24,MATCH(C108,'Staff Master'!$A$5:$A$24,0)),"")</f>
        <v>Dentist</v>
      </c>
      <c r="G108" s="10" t="s">
        <v>96</v>
      </c>
      <c r="H108" s="17" t="n">
        <f aca="false">IFERROR(INDEX('Shift Master'!$C$5:$C$16,MATCH(G108,'Shift Master'!$A$5:$A$16,0)),"")</f>
        <v>0.375</v>
      </c>
      <c r="I108" s="17" t="n">
        <f aca="false">IFERROR(INDEX('Shift Master'!$D$5:$D$16,MATCH(G108,'Shift Master'!$A$5:$A$16,0)),"")</f>
        <v>0.708333333333333</v>
      </c>
      <c r="J108" s="16" t="n">
        <f aca="false">IFERROR(INDEX('Shift Master'!$E$5:$E$16,MATCH(G108,'Shift Master'!$A$5:$A$16,0)),"")</f>
        <v>60</v>
      </c>
      <c r="K108" s="16" t="n">
        <f aca="false">IFERROR(INDEX('Shift Master'!$G$5:$G$16,MATCH(G108,'Shift Master'!$A$5:$A$16,0)),0)</f>
        <v>7</v>
      </c>
      <c r="L108" s="16" t="s">
        <v>228</v>
      </c>
      <c r="M108" s="16" t="s">
        <v>229</v>
      </c>
      <c r="N108" s="16" t="str">
        <f aca="false">IF(COUNTIFS('Staffing Coverage'!$A$5:$A$12,E108,'Staffing Coverage'!$B$5:$B$12,G108)=0,"",IF(COUNTIFS($A$5:$A$10004,A108,$E$5:$E$10004,E108,$G$5:$G$10004,G108)&lt;INDEX('Staffing Coverage'!$C$5:$C$12,MATCH(1,('Staffing Coverage'!$A$5:$A$12=E108)*('Staffing Coverage'!$B$5:$B$12=G108),0)),"SHORT","OK"))</f>
        <v/>
      </c>
    </row>
    <row r="109" customFormat="false" ht="15" hidden="false" customHeight="false" outlineLevel="0" collapsed="false">
      <c r="A109" s="15" t="n">
        <v>46301</v>
      </c>
      <c r="B109" s="16" t="str">
        <f aca="false">TEXT(A109,"ddd")</f>
        <v>Tue</v>
      </c>
      <c r="C109" s="10" t="s">
        <v>150</v>
      </c>
      <c r="D109" s="16" t="str">
        <f aca="false">IFERROR(INDEX('Staff Master'!$B$5:$B$24,MATCH(C109,'Staff Master'!$A$5:$A$24,0)),"")</f>
        <v>Dr. Farah Idris</v>
      </c>
      <c r="E109" s="16" t="str">
        <f aca="false">IFERROR(INDEX('Staff Master'!$D$5:$D$24,MATCH(C109,'Staff Master'!$A$5:$A$24,0)),"")</f>
        <v>Dental</v>
      </c>
      <c r="F109" s="16" t="str">
        <f aca="false">IFERROR(INDEX('Staff Master'!$E$5:$E$24,MATCH(C109,'Staff Master'!$A$5:$A$24,0)),"")</f>
        <v>Dentist</v>
      </c>
      <c r="G109" s="10" t="s">
        <v>96</v>
      </c>
      <c r="H109" s="17" t="n">
        <f aca="false">IFERROR(INDEX('Shift Master'!$C$5:$C$16,MATCH(G109,'Shift Master'!$A$5:$A$16,0)),"")</f>
        <v>0.375</v>
      </c>
      <c r="I109" s="17" t="n">
        <f aca="false">IFERROR(INDEX('Shift Master'!$D$5:$D$16,MATCH(G109,'Shift Master'!$A$5:$A$16,0)),"")</f>
        <v>0.708333333333333</v>
      </c>
      <c r="J109" s="16" t="n">
        <f aca="false">IFERROR(INDEX('Shift Master'!$E$5:$E$16,MATCH(G109,'Shift Master'!$A$5:$A$16,0)),"")</f>
        <v>60</v>
      </c>
      <c r="K109" s="16" t="n">
        <f aca="false">IFERROR(INDEX('Shift Master'!$G$5:$G$16,MATCH(G109,'Shift Master'!$A$5:$A$16,0)),0)</f>
        <v>7</v>
      </c>
      <c r="L109" s="16" t="s">
        <v>228</v>
      </c>
      <c r="M109" s="16" t="s">
        <v>229</v>
      </c>
      <c r="N109" s="16" t="str">
        <f aca="false">IF(COUNTIFS('Staffing Coverage'!$A$5:$A$12,E109,'Staffing Coverage'!$B$5:$B$12,G109)=0,"",IF(COUNTIFS($A$5:$A$10004,A109,$E$5:$E$10004,E109,$G$5:$G$10004,G109)&lt;INDEX('Staffing Coverage'!$C$5:$C$12,MATCH(1,('Staffing Coverage'!$A$5:$A$12=E109)*('Staffing Coverage'!$B$5:$B$12=G109),0)),"SHORT","OK"))</f>
        <v/>
      </c>
    </row>
    <row r="110" customFormat="false" ht="15" hidden="false" customHeight="false" outlineLevel="0" collapsed="false">
      <c r="A110" s="15" t="n">
        <v>46301</v>
      </c>
      <c r="B110" s="16" t="str">
        <f aca="false">TEXT(A110,"ddd")</f>
        <v>Tue</v>
      </c>
      <c r="C110" s="10" t="s">
        <v>157</v>
      </c>
      <c r="D110" s="16" t="str">
        <f aca="false">IFERROR(INDEX('Staff Master'!$B$5:$B$24,MATCH(C110,'Staff Master'!$A$5:$A$24,0)),"")</f>
        <v>Dr. Youssef Nassar</v>
      </c>
      <c r="E110" s="16" t="str">
        <f aca="false">IFERROR(INDEX('Staff Master'!$D$5:$D$24,MATCH(C110,'Staff Master'!$A$5:$A$24,0)),"")</f>
        <v>General Practice</v>
      </c>
      <c r="F110" s="16" t="str">
        <f aca="false">IFERROR(INDEX('Staff Master'!$E$5:$E$24,MATCH(C110,'Staff Master'!$A$5:$A$24,0)),"")</f>
        <v>General Practitioner</v>
      </c>
      <c r="G110" s="10" t="s">
        <v>96</v>
      </c>
      <c r="H110" s="17" t="n">
        <f aca="false">IFERROR(INDEX('Shift Master'!$C$5:$C$16,MATCH(G110,'Shift Master'!$A$5:$A$16,0)),"")</f>
        <v>0.375</v>
      </c>
      <c r="I110" s="17" t="n">
        <f aca="false">IFERROR(INDEX('Shift Master'!$D$5:$D$16,MATCH(G110,'Shift Master'!$A$5:$A$16,0)),"")</f>
        <v>0.708333333333333</v>
      </c>
      <c r="J110" s="16" t="n">
        <f aca="false">IFERROR(INDEX('Shift Master'!$E$5:$E$16,MATCH(G110,'Shift Master'!$A$5:$A$16,0)),"")</f>
        <v>60</v>
      </c>
      <c r="K110" s="16" t="n">
        <f aca="false">IFERROR(INDEX('Shift Master'!$G$5:$G$16,MATCH(G110,'Shift Master'!$A$5:$A$16,0)),0)</f>
        <v>7</v>
      </c>
      <c r="L110" s="16" t="s">
        <v>228</v>
      </c>
      <c r="M110" s="16" t="s">
        <v>229</v>
      </c>
      <c r="N110" s="16" t="str">
        <f aca="false">IF(COUNTIFS('Staffing Coverage'!$A$5:$A$12,E110,'Staffing Coverage'!$B$5:$B$12,G110)=0,"",IF(COUNTIFS($A$5:$A$10004,A110,$E$5:$E$10004,E110,$G$5:$G$10004,G110)&lt;INDEX('Staffing Coverage'!$C$5:$C$12,MATCH(1,('Staffing Coverage'!$A$5:$A$12=E110)*('Staffing Coverage'!$B$5:$B$12=G110),0)),"SHORT","OK"))</f>
        <v/>
      </c>
    </row>
    <row r="111" customFormat="false" ht="15" hidden="false" customHeight="false" outlineLevel="0" collapsed="false">
      <c r="A111" s="15" t="n">
        <v>46301</v>
      </c>
      <c r="B111" s="16" t="str">
        <f aca="false">TEXT(A111,"ddd")</f>
        <v>Tue</v>
      </c>
      <c r="C111" s="10" t="s">
        <v>161</v>
      </c>
      <c r="D111" s="16" t="str">
        <f aca="false">IFERROR(INDEX('Staff Master'!$B$5:$B$24,MATCH(C111,'Staff Master'!$A$5:$A$24,0)),"")</f>
        <v>Grace Fernandez</v>
      </c>
      <c r="E111" s="16" t="str">
        <f aca="false">IFERROR(INDEX('Staff Master'!$D$5:$D$24,MATCH(C111,'Staff Master'!$A$5:$A$24,0)),"")</f>
        <v>Nursing</v>
      </c>
      <c r="F111" s="16" t="str">
        <f aca="false">IFERROR(INDEX('Staff Master'!$E$5:$E$24,MATCH(C111,'Staff Master'!$A$5:$A$24,0)),"")</f>
        <v>Nurse</v>
      </c>
      <c r="G111" s="10" t="s">
        <v>87</v>
      </c>
      <c r="H111" s="17" t="n">
        <f aca="false">IFERROR(INDEX('Shift Master'!$C$5:$C$16,MATCH(G111,'Shift Master'!$A$5:$A$16,0)),"")</f>
        <v>0.333333333333333</v>
      </c>
      <c r="I111" s="17" t="n">
        <f aca="false">IFERROR(INDEX('Shift Master'!$D$5:$D$16,MATCH(G111,'Shift Master'!$A$5:$A$16,0)),"")</f>
        <v>0.708333333333333</v>
      </c>
      <c r="J111" s="16" t="n">
        <f aca="false">IFERROR(INDEX('Shift Master'!$E$5:$E$16,MATCH(G111,'Shift Master'!$A$5:$A$16,0)),"")</f>
        <v>60</v>
      </c>
      <c r="K111" s="16" t="n">
        <f aca="false">IFERROR(INDEX('Shift Master'!$G$5:$G$16,MATCH(G111,'Shift Master'!$A$5:$A$16,0)),0)</f>
        <v>8</v>
      </c>
      <c r="L111" s="16" t="s">
        <v>228</v>
      </c>
      <c r="M111" s="16" t="s">
        <v>229</v>
      </c>
      <c r="N111" s="16" t="str">
        <f aca="false">IF(COUNTIFS('Staffing Coverage'!$A$5:$A$12,E111,'Staffing Coverage'!$B$5:$B$12,G111)=0,"",IF(COUNTIFS($A$5:$A$10004,A111,$E$5:$E$10004,E111,$G$5:$G$10004,G111)&lt;INDEX('Staffing Coverage'!$C$5:$C$12,MATCH(1,('Staffing Coverage'!$A$5:$A$12=E111)*('Staffing Coverage'!$B$5:$B$12=G111),0)),"SHORT","OK"))</f>
        <v>OK</v>
      </c>
    </row>
    <row r="112" customFormat="false" ht="15" hidden="false" customHeight="false" outlineLevel="0" collapsed="false">
      <c r="A112" s="15" t="n">
        <v>46301</v>
      </c>
      <c r="B112" s="16" t="str">
        <f aca="false">TEXT(A112,"ddd")</f>
        <v>Tue</v>
      </c>
      <c r="C112" s="10" t="s">
        <v>165</v>
      </c>
      <c r="D112" s="16" t="str">
        <f aca="false">IFERROR(INDEX('Staff Master'!$B$5:$B$24,MATCH(C112,'Staff Master'!$A$5:$A$24,0)),"")</f>
        <v>Priya Nair</v>
      </c>
      <c r="E112" s="16" t="str">
        <f aca="false">IFERROR(INDEX('Staff Master'!$D$5:$D$24,MATCH(C112,'Staff Master'!$A$5:$A$24,0)),"")</f>
        <v>Nursing</v>
      </c>
      <c r="F112" s="16" t="str">
        <f aca="false">IFERROR(INDEX('Staff Master'!$E$5:$E$24,MATCH(C112,'Staff Master'!$A$5:$A$24,0)),"")</f>
        <v>Nurse</v>
      </c>
      <c r="G112" s="10" t="s">
        <v>100</v>
      </c>
      <c r="H112" s="17" t="n">
        <f aca="false">IFERROR(INDEX('Shift Master'!$C$5:$C$16,MATCH(G112,'Shift Master'!$A$5:$A$16,0)),"")</f>
        <v>0</v>
      </c>
      <c r="I112" s="17" t="n">
        <f aca="false">IFERROR(INDEX('Shift Master'!$D$5:$D$16,MATCH(G112,'Shift Master'!$A$5:$A$16,0)),"")</f>
        <v>0</v>
      </c>
      <c r="J112" s="16" t="n">
        <f aca="false">IFERROR(INDEX('Shift Master'!$E$5:$E$16,MATCH(G112,'Shift Master'!$A$5:$A$16,0)),"")</f>
        <v>0</v>
      </c>
      <c r="K112" s="16" t="n">
        <f aca="false">IFERROR(INDEX('Shift Master'!$G$5:$G$16,MATCH(G112,'Shift Master'!$A$5:$A$16,0)),0)</f>
        <v>0</v>
      </c>
      <c r="L112" s="16" t="s">
        <v>228</v>
      </c>
      <c r="M112" s="16" t="s">
        <v>229</v>
      </c>
      <c r="N112" s="16" t="str">
        <f aca="false">IF(COUNTIFS('Staffing Coverage'!$A$5:$A$12,E112,'Staffing Coverage'!$B$5:$B$12,G112)=0,"",IF(COUNTIFS($A$5:$A$10004,A112,$E$5:$E$10004,E112,$G$5:$G$10004,G112)&lt;INDEX('Staffing Coverage'!$C$5:$C$12,MATCH(1,('Staffing Coverage'!$A$5:$A$12=E112)*('Staffing Coverage'!$B$5:$B$12=G112),0)),"SHORT","OK"))</f>
        <v/>
      </c>
    </row>
    <row r="113" customFormat="false" ht="15" hidden="false" customHeight="false" outlineLevel="0" collapsed="false">
      <c r="A113" s="15" t="n">
        <v>46301</v>
      </c>
      <c r="B113" s="16" t="str">
        <f aca="false">TEXT(A113,"ddd")</f>
        <v>Tue</v>
      </c>
      <c r="C113" s="10" t="s">
        <v>170</v>
      </c>
      <c r="D113" s="16" t="str">
        <f aca="false">IFERROR(INDEX('Staff Master'!$B$5:$B$24,MATCH(C113,'Staff Master'!$A$5:$A$24,0)),"")</f>
        <v>Maria Santos</v>
      </c>
      <c r="E113" s="16" t="str">
        <f aca="false">IFERROR(INDEX('Staff Master'!$D$5:$D$24,MATCH(C113,'Staff Master'!$A$5:$A$24,0)),"")</f>
        <v>Nursing</v>
      </c>
      <c r="F113" s="16" t="str">
        <f aca="false">IFERROR(INDEX('Staff Master'!$E$5:$E$24,MATCH(C113,'Staff Master'!$A$5:$A$24,0)),"")</f>
        <v>Nurse</v>
      </c>
      <c r="G113" s="10" t="s">
        <v>94</v>
      </c>
      <c r="H113" s="17" t="n">
        <f aca="false">IFERROR(INDEX('Shift Master'!$C$5:$C$16,MATCH(G113,'Shift Master'!$A$5:$A$16,0)),"")</f>
        <v>0.541666666666667</v>
      </c>
      <c r="I113" s="17" t="n">
        <f aca="false">IFERROR(INDEX('Shift Master'!$D$5:$D$16,MATCH(G113,'Shift Master'!$A$5:$A$16,0)),"")</f>
        <v>0.916666666666667</v>
      </c>
      <c r="J113" s="16" t="n">
        <f aca="false">IFERROR(INDEX('Shift Master'!$E$5:$E$16,MATCH(G113,'Shift Master'!$A$5:$A$16,0)),"")</f>
        <v>60</v>
      </c>
      <c r="K113" s="16" t="n">
        <f aca="false">IFERROR(INDEX('Shift Master'!$G$5:$G$16,MATCH(G113,'Shift Master'!$A$5:$A$16,0)),0)</f>
        <v>8</v>
      </c>
      <c r="L113" s="16" t="s">
        <v>228</v>
      </c>
      <c r="M113" s="16" t="s">
        <v>229</v>
      </c>
      <c r="N113" s="16" t="str">
        <f aca="false">IF(COUNTIFS('Staffing Coverage'!$A$5:$A$12,E113,'Staffing Coverage'!$B$5:$B$12,G113)=0,"",IF(COUNTIFS($A$5:$A$10004,A113,$E$5:$E$10004,E113,$G$5:$G$10004,G113)&lt;INDEX('Staffing Coverage'!$C$5:$C$12,MATCH(1,('Staffing Coverage'!$A$5:$A$12=E113)*('Staffing Coverage'!$B$5:$B$12=G113),0)),"SHORT","OK"))</f>
        <v/>
      </c>
    </row>
    <row r="114" customFormat="false" ht="15" hidden="false" customHeight="false" outlineLevel="0" collapsed="false">
      <c r="A114" s="15" t="n">
        <v>46301</v>
      </c>
      <c r="B114" s="16" t="str">
        <f aca="false">TEXT(A114,"ddd")</f>
        <v>Tue</v>
      </c>
      <c r="C114" s="10" t="s">
        <v>174</v>
      </c>
      <c r="D114" s="16" t="str">
        <f aca="false">IFERROR(INDEX('Staff Master'!$B$5:$B$24,MATCH(C114,'Staff Master'!$A$5:$A$24,0)),"")</f>
        <v>Aisha Al Shamsi</v>
      </c>
      <c r="E114" s="16" t="str">
        <f aca="false">IFERROR(INDEX('Staff Master'!$D$5:$D$24,MATCH(C114,'Staff Master'!$A$5:$A$24,0)),"")</f>
        <v>Reception</v>
      </c>
      <c r="F114" s="16" t="str">
        <f aca="false">IFERROR(INDEX('Staff Master'!$E$5:$E$24,MATCH(C114,'Staff Master'!$A$5:$A$24,0)),"")</f>
        <v>Receptionist</v>
      </c>
      <c r="G114" s="10" t="s">
        <v>87</v>
      </c>
      <c r="H114" s="17" t="n">
        <f aca="false">IFERROR(INDEX('Shift Master'!$C$5:$C$16,MATCH(G114,'Shift Master'!$A$5:$A$16,0)),"")</f>
        <v>0.333333333333333</v>
      </c>
      <c r="I114" s="17" t="n">
        <f aca="false">IFERROR(INDEX('Shift Master'!$D$5:$D$16,MATCH(G114,'Shift Master'!$A$5:$A$16,0)),"")</f>
        <v>0.708333333333333</v>
      </c>
      <c r="J114" s="16" t="n">
        <f aca="false">IFERROR(INDEX('Shift Master'!$E$5:$E$16,MATCH(G114,'Shift Master'!$A$5:$A$16,0)),"")</f>
        <v>60</v>
      </c>
      <c r="K114" s="16" t="n">
        <f aca="false">IFERROR(INDEX('Shift Master'!$G$5:$G$16,MATCH(G114,'Shift Master'!$A$5:$A$16,0)),0)</f>
        <v>8</v>
      </c>
      <c r="L114" s="16" t="s">
        <v>228</v>
      </c>
      <c r="M114" s="16" t="s">
        <v>229</v>
      </c>
      <c r="N114" s="16" t="str">
        <f aca="false">IF(COUNTIFS('Staffing Coverage'!$A$5:$A$12,E114,'Staffing Coverage'!$B$5:$B$12,G114)=0,"",IF(COUNTIFS($A$5:$A$10004,A114,$E$5:$E$10004,E114,$G$5:$G$10004,G114)&lt;INDEX('Staffing Coverage'!$C$5:$C$12,MATCH(1,('Staffing Coverage'!$A$5:$A$12=E114)*('Staffing Coverage'!$B$5:$B$12=G114),0)),"SHORT","OK"))</f>
        <v>SHORT</v>
      </c>
    </row>
    <row r="115" customFormat="false" ht="15" hidden="false" customHeight="false" outlineLevel="0" collapsed="false">
      <c r="A115" s="15" t="n">
        <v>46301</v>
      </c>
      <c r="B115" s="16" t="str">
        <f aca="false">TEXT(A115,"ddd")</f>
        <v>Tue</v>
      </c>
      <c r="C115" s="10" t="s">
        <v>179</v>
      </c>
      <c r="D115" s="16" t="str">
        <f aca="false">IFERROR(INDEX('Staff Master'!$B$5:$B$24,MATCH(C115,'Staff Master'!$A$5:$A$24,0)),"")</f>
        <v>John Dsouza</v>
      </c>
      <c r="E115" s="16" t="str">
        <f aca="false">IFERROR(INDEX('Staff Master'!$D$5:$D$24,MATCH(C115,'Staff Master'!$A$5:$A$24,0)),"")</f>
        <v>Reception</v>
      </c>
      <c r="F115" s="16" t="str">
        <f aca="false">IFERROR(INDEX('Staff Master'!$E$5:$E$24,MATCH(C115,'Staff Master'!$A$5:$A$24,0)),"")</f>
        <v>Receptionist</v>
      </c>
      <c r="G115" s="10" t="s">
        <v>97</v>
      </c>
      <c r="H115" s="17" t="n">
        <f aca="false">IFERROR(INDEX('Shift Master'!$C$5:$C$16,MATCH(G115,'Shift Master'!$A$5:$A$16,0)),"")</f>
        <v>0</v>
      </c>
      <c r="I115" s="17" t="n">
        <f aca="false">IFERROR(INDEX('Shift Master'!$D$5:$D$16,MATCH(G115,'Shift Master'!$A$5:$A$16,0)),"")</f>
        <v>0</v>
      </c>
      <c r="J115" s="16" t="n">
        <f aca="false">IFERROR(INDEX('Shift Master'!$E$5:$E$16,MATCH(G115,'Shift Master'!$A$5:$A$16,0)),"")</f>
        <v>0</v>
      </c>
      <c r="K115" s="16" t="n">
        <f aca="false">IFERROR(INDEX('Shift Master'!$G$5:$G$16,MATCH(G115,'Shift Master'!$A$5:$A$16,0)),0)</f>
        <v>0</v>
      </c>
      <c r="L115" s="16" t="s">
        <v>228</v>
      </c>
      <c r="M115" s="16" t="s">
        <v>229</v>
      </c>
      <c r="N115" s="16" t="str">
        <f aca="false">IF(COUNTIFS('Staffing Coverage'!$A$5:$A$12,E115,'Staffing Coverage'!$B$5:$B$12,G115)=0,"",IF(COUNTIFS($A$5:$A$10004,A115,$E$5:$E$10004,E115,$G$5:$G$10004,G115)&lt;INDEX('Staffing Coverage'!$C$5:$C$12,MATCH(1,('Staffing Coverage'!$A$5:$A$12=E115)*('Staffing Coverage'!$B$5:$B$12=G115),0)),"SHORT","OK"))</f>
        <v/>
      </c>
    </row>
    <row r="116" customFormat="false" ht="15" hidden="false" customHeight="false" outlineLevel="0" collapsed="false">
      <c r="A116" s="15" t="n">
        <v>46301</v>
      </c>
      <c r="B116" s="16" t="str">
        <f aca="false">TEXT(A116,"ddd")</f>
        <v>Tue</v>
      </c>
      <c r="C116" s="10" t="s">
        <v>184</v>
      </c>
      <c r="D116" s="16" t="str">
        <f aca="false">IFERROR(INDEX('Staff Master'!$B$5:$B$24,MATCH(C116,'Staff Master'!$A$5:$A$24,0)),"")</f>
        <v>Fatima Zahra</v>
      </c>
      <c r="E116" s="16" t="str">
        <f aca="false">IFERROR(INDEX('Staff Master'!$D$5:$D$24,MATCH(C116,'Staff Master'!$A$5:$A$24,0)),"")</f>
        <v>Reception</v>
      </c>
      <c r="F116" s="16" t="str">
        <f aca="false">IFERROR(INDEX('Staff Master'!$E$5:$E$24,MATCH(C116,'Staff Master'!$A$5:$A$24,0)),"")</f>
        <v>Receptionist</v>
      </c>
      <c r="G116" s="10" t="s">
        <v>94</v>
      </c>
      <c r="H116" s="17" t="n">
        <f aca="false">IFERROR(INDEX('Shift Master'!$C$5:$C$16,MATCH(G116,'Shift Master'!$A$5:$A$16,0)),"")</f>
        <v>0.541666666666667</v>
      </c>
      <c r="I116" s="17" t="n">
        <f aca="false">IFERROR(INDEX('Shift Master'!$D$5:$D$16,MATCH(G116,'Shift Master'!$A$5:$A$16,0)),"")</f>
        <v>0.916666666666667</v>
      </c>
      <c r="J116" s="16" t="n">
        <f aca="false">IFERROR(INDEX('Shift Master'!$E$5:$E$16,MATCH(G116,'Shift Master'!$A$5:$A$16,0)),"")</f>
        <v>60</v>
      </c>
      <c r="K116" s="16" t="n">
        <f aca="false">IFERROR(INDEX('Shift Master'!$G$5:$G$16,MATCH(G116,'Shift Master'!$A$5:$A$16,0)),0)</f>
        <v>8</v>
      </c>
      <c r="L116" s="16" t="s">
        <v>228</v>
      </c>
      <c r="M116" s="16" t="s">
        <v>229</v>
      </c>
      <c r="N116" s="16" t="str">
        <f aca="false">IF(COUNTIFS('Staffing Coverage'!$A$5:$A$12,E116,'Staffing Coverage'!$B$5:$B$12,G116)=0,"",IF(COUNTIFS($A$5:$A$10004,A116,$E$5:$E$10004,E116,$G$5:$G$10004,G116)&lt;INDEX('Staffing Coverage'!$C$5:$C$12,MATCH(1,('Staffing Coverage'!$A$5:$A$12=E116)*('Staffing Coverage'!$B$5:$B$12=G116),0)),"SHORT","OK"))</f>
        <v>OK</v>
      </c>
    </row>
    <row r="117" customFormat="false" ht="15" hidden="false" customHeight="false" outlineLevel="0" collapsed="false">
      <c r="A117" s="15" t="n">
        <v>46301</v>
      </c>
      <c r="B117" s="16" t="str">
        <f aca="false">TEXT(A117,"ddd")</f>
        <v>Tue</v>
      </c>
      <c r="C117" s="10" t="s">
        <v>188</v>
      </c>
      <c r="D117" s="16" t="str">
        <f aca="false">IFERROR(INDEX('Staff Master'!$B$5:$B$24,MATCH(C117,'Staff Master'!$A$5:$A$24,0)),"")</f>
        <v>Ana Reyes</v>
      </c>
      <c r="E117" s="16" t="str">
        <f aca="false">IFERROR(INDEX('Staff Master'!$D$5:$D$24,MATCH(C117,'Staff Master'!$A$5:$A$24,0)),"")</f>
        <v>Dental</v>
      </c>
      <c r="F117" s="16" t="str">
        <f aca="false">IFERROR(INDEX('Staff Master'!$E$5:$E$24,MATCH(C117,'Staff Master'!$A$5:$A$24,0)),"")</f>
        <v>Dental Assistant</v>
      </c>
      <c r="G117" s="10" t="s">
        <v>87</v>
      </c>
      <c r="H117" s="17" t="n">
        <f aca="false">IFERROR(INDEX('Shift Master'!$C$5:$C$16,MATCH(G117,'Shift Master'!$A$5:$A$16,0)),"")</f>
        <v>0.333333333333333</v>
      </c>
      <c r="I117" s="17" t="n">
        <f aca="false">IFERROR(INDEX('Shift Master'!$D$5:$D$16,MATCH(G117,'Shift Master'!$A$5:$A$16,0)),"")</f>
        <v>0.708333333333333</v>
      </c>
      <c r="J117" s="16" t="n">
        <f aca="false">IFERROR(INDEX('Shift Master'!$E$5:$E$16,MATCH(G117,'Shift Master'!$A$5:$A$16,0)),"")</f>
        <v>60</v>
      </c>
      <c r="K117" s="16" t="n">
        <f aca="false">IFERROR(INDEX('Shift Master'!$G$5:$G$16,MATCH(G117,'Shift Master'!$A$5:$A$16,0)),0)</f>
        <v>8</v>
      </c>
      <c r="L117" s="16" t="s">
        <v>228</v>
      </c>
      <c r="M117" s="16" t="s">
        <v>229</v>
      </c>
      <c r="N117" s="16" t="str">
        <f aca="false">IF(COUNTIFS('Staffing Coverage'!$A$5:$A$12,E117,'Staffing Coverage'!$B$5:$B$12,G117)=0,"",IF(COUNTIFS($A$5:$A$10004,A117,$E$5:$E$10004,E117,$G$5:$G$10004,G117)&lt;INDEX('Staffing Coverage'!$C$5:$C$12,MATCH(1,('Staffing Coverage'!$A$5:$A$12=E117)*('Staffing Coverage'!$B$5:$B$12=G117),0)),"SHORT","OK"))</f>
        <v>OK</v>
      </c>
    </row>
    <row r="118" customFormat="false" ht="15" hidden="false" customHeight="false" outlineLevel="0" collapsed="false">
      <c r="A118" s="15" t="n">
        <v>46301</v>
      </c>
      <c r="B118" s="16" t="str">
        <f aca="false">TEXT(A118,"ddd")</f>
        <v>Tue</v>
      </c>
      <c r="C118" s="10" t="s">
        <v>192</v>
      </c>
      <c r="D118" s="16" t="str">
        <f aca="false">IFERROR(INDEX('Staff Master'!$B$5:$B$24,MATCH(C118,'Staff Master'!$A$5:$A$24,0)),"")</f>
        <v>Noor Hassan</v>
      </c>
      <c r="E118" s="16" t="str">
        <f aca="false">IFERROR(INDEX('Staff Master'!$D$5:$D$24,MATCH(C118,'Staff Master'!$A$5:$A$24,0)),"")</f>
        <v>Dental</v>
      </c>
      <c r="F118" s="16" t="str">
        <f aca="false">IFERROR(INDEX('Staff Master'!$E$5:$E$24,MATCH(C118,'Staff Master'!$A$5:$A$24,0)),"")</f>
        <v>Dental Assistant</v>
      </c>
      <c r="G118" s="10" t="s">
        <v>90</v>
      </c>
      <c r="H118" s="17" t="n">
        <f aca="false">IFERROR(INDEX('Shift Master'!$C$5:$C$16,MATCH(G118,'Shift Master'!$A$5:$A$16,0)),"")</f>
        <v>0.375</v>
      </c>
      <c r="I118" s="17" t="n">
        <f aca="false">IFERROR(INDEX('Shift Master'!$D$5:$D$16,MATCH(G118,'Shift Master'!$A$5:$A$16,0)),"")</f>
        <v>0.75</v>
      </c>
      <c r="J118" s="16" t="n">
        <f aca="false">IFERROR(INDEX('Shift Master'!$E$5:$E$16,MATCH(G118,'Shift Master'!$A$5:$A$16,0)),"")</f>
        <v>60</v>
      </c>
      <c r="K118" s="16" t="n">
        <f aca="false">IFERROR(INDEX('Shift Master'!$G$5:$G$16,MATCH(G118,'Shift Master'!$A$5:$A$16,0)),0)</f>
        <v>8</v>
      </c>
      <c r="L118" s="16" t="s">
        <v>228</v>
      </c>
      <c r="M118" s="16" t="s">
        <v>229</v>
      </c>
      <c r="N118" s="16" t="str">
        <f aca="false">IF(COUNTIFS('Staffing Coverage'!$A$5:$A$12,E118,'Staffing Coverage'!$B$5:$B$12,G118)=0,"",IF(COUNTIFS($A$5:$A$10004,A118,$E$5:$E$10004,E118,$G$5:$G$10004,G118)&lt;INDEX('Staffing Coverage'!$C$5:$C$12,MATCH(1,('Staffing Coverage'!$A$5:$A$12=E118)*('Staffing Coverage'!$B$5:$B$12=G118),0)),"SHORT","OK"))</f>
        <v/>
      </c>
    </row>
    <row r="119" customFormat="false" ht="15" hidden="false" customHeight="false" outlineLevel="0" collapsed="false">
      <c r="A119" s="15" t="n">
        <v>46301</v>
      </c>
      <c r="B119" s="16" t="str">
        <f aca="false">TEXT(A119,"ddd")</f>
        <v>Tue</v>
      </c>
      <c r="C119" s="10" t="s">
        <v>196</v>
      </c>
      <c r="D119" s="16" t="str">
        <f aca="false">IFERROR(INDEX('Staff Master'!$B$5:$B$24,MATCH(C119,'Staff Master'!$A$5:$A$24,0)),"")</f>
        <v>Karan Mehta</v>
      </c>
      <c r="E119" s="16" t="str">
        <f aca="false">IFERROR(INDEX('Staff Master'!$D$5:$D$24,MATCH(C119,'Staff Master'!$A$5:$A$24,0)),"")</f>
        <v>Laser</v>
      </c>
      <c r="F119" s="16" t="str">
        <f aca="false">IFERROR(INDEX('Staff Master'!$E$5:$E$24,MATCH(C119,'Staff Master'!$A$5:$A$24,0)),"")</f>
        <v>Laser Technician</v>
      </c>
      <c r="G119" s="10" t="s">
        <v>90</v>
      </c>
      <c r="H119" s="17" t="n">
        <f aca="false">IFERROR(INDEX('Shift Master'!$C$5:$C$16,MATCH(G119,'Shift Master'!$A$5:$A$16,0)),"")</f>
        <v>0.375</v>
      </c>
      <c r="I119" s="17" t="n">
        <f aca="false">IFERROR(INDEX('Shift Master'!$D$5:$D$16,MATCH(G119,'Shift Master'!$A$5:$A$16,0)),"")</f>
        <v>0.75</v>
      </c>
      <c r="J119" s="16" t="n">
        <f aca="false">IFERROR(INDEX('Shift Master'!$E$5:$E$16,MATCH(G119,'Shift Master'!$A$5:$A$16,0)),"")</f>
        <v>60</v>
      </c>
      <c r="K119" s="16" t="n">
        <f aca="false">IFERROR(INDEX('Shift Master'!$G$5:$G$16,MATCH(G119,'Shift Master'!$A$5:$A$16,0)),0)</f>
        <v>8</v>
      </c>
      <c r="L119" s="16" t="s">
        <v>228</v>
      </c>
      <c r="M119" s="16" t="s">
        <v>229</v>
      </c>
      <c r="N119" s="16" t="str">
        <f aca="false">IF(COUNTIFS('Staffing Coverage'!$A$5:$A$12,E119,'Staffing Coverage'!$B$5:$B$12,G119)=0,"",IF(COUNTIFS($A$5:$A$10004,A119,$E$5:$E$10004,E119,$G$5:$G$10004,G119)&lt;INDEX('Staffing Coverage'!$C$5:$C$12,MATCH(1,('Staffing Coverage'!$A$5:$A$12=E119)*('Staffing Coverage'!$B$5:$B$12=G119),0)),"SHORT","OK"))</f>
        <v/>
      </c>
    </row>
    <row r="120" customFormat="false" ht="15" hidden="false" customHeight="false" outlineLevel="0" collapsed="false">
      <c r="A120" s="15" t="n">
        <v>46301</v>
      </c>
      <c r="B120" s="16" t="str">
        <f aca="false">TEXT(A120,"ddd")</f>
        <v>Tue</v>
      </c>
      <c r="C120" s="10" t="s">
        <v>200</v>
      </c>
      <c r="D120" s="16" t="str">
        <f aca="false">IFERROR(INDEX('Staff Master'!$B$5:$B$24,MATCH(C120,'Staff Master'!$A$5:$A$24,0)),"")</f>
        <v>Imran Sheikh</v>
      </c>
      <c r="E120" s="16" t="str">
        <f aca="false">IFERROR(INDEX('Staff Master'!$D$5:$D$24,MATCH(C120,'Staff Master'!$A$5:$A$24,0)),"")</f>
        <v>Dental Laboratory</v>
      </c>
      <c r="F120" s="16" t="str">
        <f aca="false">IFERROR(INDEX('Staff Master'!$E$5:$E$24,MATCH(C120,'Staff Master'!$A$5:$A$24,0)),"")</f>
        <v>Dental Technician</v>
      </c>
      <c r="G120" s="10" t="s">
        <v>87</v>
      </c>
      <c r="H120" s="17" t="n">
        <f aca="false">IFERROR(INDEX('Shift Master'!$C$5:$C$16,MATCH(G120,'Shift Master'!$A$5:$A$16,0)),"")</f>
        <v>0.333333333333333</v>
      </c>
      <c r="I120" s="17" t="n">
        <f aca="false">IFERROR(INDEX('Shift Master'!$D$5:$D$16,MATCH(G120,'Shift Master'!$A$5:$A$16,0)),"")</f>
        <v>0.708333333333333</v>
      </c>
      <c r="J120" s="16" t="n">
        <f aca="false">IFERROR(INDEX('Shift Master'!$E$5:$E$16,MATCH(G120,'Shift Master'!$A$5:$A$16,0)),"")</f>
        <v>60</v>
      </c>
      <c r="K120" s="16" t="n">
        <f aca="false">IFERROR(INDEX('Shift Master'!$G$5:$G$16,MATCH(G120,'Shift Master'!$A$5:$A$16,0)),0)</f>
        <v>8</v>
      </c>
      <c r="L120" s="16" t="s">
        <v>228</v>
      </c>
      <c r="M120" s="16" t="s">
        <v>229</v>
      </c>
      <c r="N120" s="16" t="str">
        <f aca="false">IF(COUNTIFS('Staffing Coverage'!$A$5:$A$12,E120,'Staffing Coverage'!$B$5:$B$12,G120)=0,"",IF(COUNTIFS($A$5:$A$10004,A120,$E$5:$E$10004,E120,$G$5:$G$10004,G120)&lt;INDEX('Staffing Coverage'!$C$5:$C$12,MATCH(1,('Staffing Coverage'!$A$5:$A$12=E120)*('Staffing Coverage'!$B$5:$B$12=G120),0)),"SHORT","OK"))</f>
        <v/>
      </c>
    </row>
    <row r="121" customFormat="false" ht="15" hidden="false" customHeight="false" outlineLevel="0" collapsed="false">
      <c r="A121" s="15" t="n">
        <v>46301</v>
      </c>
      <c r="B121" s="16" t="str">
        <f aca="false">TEXT(A121,"ddd")</f>
        <v>Tue</v>
      </c>
      <c r="C121" s="10" t="s">
        <v>204</v>
      </c>
      <c r="D121" s="16" t="str">
        <f aca="false">IFERROR(INDEX('Staff Master'!$B$5:$B$24,MATCH(C121,'Staff Master'!$A$5:$A$24,0)),"")</f>
        <v>Josephine Cruz</v>
      </c>
      <c r="E121" s="16" t="str">
        <f aca="false">IFERROR(INDEX('Staff Master'!$D$5:$D$24,MATCH(C121,'Staff Master'!$A$5:$A$24,0)),"")</f>
        <v>CSSD</v>
      </c>
      <c r="F121" s="16" t="str">
        <f aca="false">IFERROR(INDEX('Staff Master'!$E$5:$E$24,MATCH(C121,'Staff Master'!$A$5:$A$24,0)),"")</f>
        <v>CSSD Technician</v>
      </c>
      <c r="G121" s="10" t="s">
        <v>87</v>
      </c>
      <c r="H121" s="17" t="n">
        <f aca="false">IFERROR(INDEX('Shift Master'!$C$5:$C$16,MATCH(G121,'Shift Master'!$A$5:$A$16,0)),"")</f>
        <v>0.333333333333333</v>
      </c>
      <c r="I121" s="17" t="n">
        <f aca="false">IFERROR(INDEX('Shift Master'!$D$5:$D$16,MATCH(G121,'Shift Master'!$A$5:$A$16,0)),"")</f>
        <v>0.708333333333333</v>
      </c>
      <c r="J121" s="16" t="n">
        <f aca="false">IFERROR(INDEX('Shift Master'!$E$5:$E$16,MATCH(G121,'Shift Master'!$A$5:$A$16,0)),"")</f>
        <v>60</v>
      </c>
      <c r="K121" s="16" t="n">
        <f aca="false">IFERROR(INDEX('Shift Master'!$G$5:$G$16,MATCH(G121,'Shift Master'!$A$5:$A$16,0)),0)</f>
        <v>8</v>
      </c>
      <c r="L121" s="16" t="s">
        <v>228</v>
      </c>
      <c r="M121" s="16" t="s">
        <v>229</v>
      </c>
      <c r="N121" s="16" t="str">
        <f aca="false">IF(COUNTIFS('Staffing Coverage'!$A$5:$A$12,E121,'Staffing Coverage'!$B$5:$B$12,G121)=0,"",IF(COUNTIFS($A$5:$A$10004,A121,$E$5:$E$10004,E121,$G$5:$G$10004,G121)&lt;INDEX('Staffing Coverage'!$C$5:$C$12,MATCH(1,('Staffing Coverage'!$A$5:$A$12=E121)*('Staffing Coverage'!$B$5:$B$12=G121),0)),"SHORT","OK"))</f>
        <v>OK</v>
      </c>
    </row>
    <row r="122" customFormat="false" ht="15" hidden="false" customHeight="false" outlineLevel="0" collapsed="false">
      <c r="A122" s="15" t="n">
        <v>46301</v>
      </c>
      <c r="B122" s="16" t="str">
        <f aca="false">TEXT(A122,"ddd")</f>
        <v>Tue</v>
      </c>
      <c r="C122" s="10" t="s">
        <v>208</v>
      </c>
      <c r="D122" s="16" t="str">
        <f aca="false">IFERROR(INDEX('Staff Master'!$B$5:$B$24,MATCH(C122,'Staff Master'!$A$5:$A$24,0)),"")</f>
        <v>Rosalyn Tan</v>
      </c>
      <c r="E122" s="16" t="str">
        <f aca="false">IFERROR(INDEX('Staff Master'!$D$5:$D$24,MATCH(C122,'Staff Master'!$A$5:$A$24,0)),"")</f>
        <v>Cleaning</v>
      </c>
      <c r="F122" s="16" t="str">
        <f aca="false">IFERROR(INDEX('Staff Master'!$E$5:$E$24,MATCH(C122,'Staff Master'!$A$5:$A$24,0)),"")</f>
        <v>Cleaner</v>
      </c>
      <c r="G122" s="10" t="s">
        <v>87</v>
      </c>
      <c r="H122" s="17" t="n">
        <f aca="false">IFERROR(INDEX('Shift Master'!$C$5:$C$16,MATCH(G122,'Shift Master'!$A$5:$A$16,0)),"")</f>
        <v>0.333333333333333</v>
      </c>
      <c r="I122" s="17" t="n">
        <f aca="false">IFERROR(INDEX('Shift Master'!$D$5:$D$16,MATCH(G122,'Shift Master'!$A$5:$A$16,0)),"")</f>
        <v>0.708333333333333</v>
      </c>
      <c r="J122" s="16" t="n">
        <f aca="false">IFERROR(INDEX('Shift Master'!$E$5:$E$16,MATCH(G122,'Shift Master'!$A$5:$A$16,0)),"")</f>
        <v>60</v>
      </c>
      <c r="K122" s="16" t="n">
        <f aca="false">IFERROR(INDEX('Shift Master'!$G$5:$G$16,MATCH(G122,'Shift Master'!$A$5:$A$16,0)),0)</f>
        <v>8</v>
      </c>
      <c r="L122" s="16" t="s">
        <v>228</v>
      </c>
      <c r="M122" s="16" t="s">
        <v>229</v>
      </c>
      <c r="N122" s="16" t="str">
        <f aca="false">IF(COUNTIFS('Staffing Coverage'!$A$5:$A$12,E122,'Staffing Coverage'!$B$5:$B$12,G122)=0,"",IF(COUNTIFS($A$5:$A$10004,A122,$E$5:$E$10004,E122,$G$5:$G$10004,G122)&lt;INDEX('Staffing Coverage'!$C$5:$C$12,MATCH(1,('Staffing Coverage'!$A$5:$A$12=E122)*('Staffing Coverage'!$B$5:$B$12=G122),0)),"SHORT","OK"))</f>
        <v>OK</v>
      </c>
    </row>
    <row r="123" customFormat="false" ht="15" hidden="false" customHeight="false" outlineLevel="0" collapsed="false">
      <c r="A123" s="15" t="n">
        <v>46301</v>
      </c>
      <c r="B123" s="16" t="str">
        <f aca="false">TEXT(A123,"ddd")</f>
        <v>Tue</v>
      </c>
      <c r="C123" s="10" t="s">
        <v>212</v>
      </c>
      <c r="D123" s="16" t="str">
        <f aca="false">IFERROR(INDEX('Staff Master'!$B$5:$B$24,MATCH(C123,'Staff Master'!$A$5:$A$24,0)),"")</f>
        <v>Hassan Baig</v>
      </c>
      <c r="E123" s="16" t="str">
        <f aca="false">IFERROR(INDEX('Staff Master'!$D$5:$D$24,MATCH(C123,'Staff Master'!$A$5:$A$24,0)),"")</f>
        <v>Facilities</v>
      </c>
      <c r="F123" s="16" t="str">
        <f aca="false">IFERROR(INDEX('Staff Master'!$E$5:$E$24,MATCH(C123,'Staff Master'!$A$5:$A$24,0)),"")</f>
        <v>Facility Manager</v>
      </c>
      <c r="G123" s="10" t="s">
        <v>90</v>
      </c>
      <c r="H123" s="17" t="n">
        <f aca="false">IFERROR(INDEX('Shift Master'!$C$5:$C$16,MATCH(G123,'Shift Master'!$A$5:$A$16,0)),"")</f>
        <v>0.375</v>
      </c>
      <c r="I123" s="17" t="n">
        <f aca="false">IFERROR(INDEX('Shift Master'!$D$5:$D$16,MATCH(G123,'Shift Master'!$A$5:$A$16,0)),"")</f>
        <v>0.75</v>
      </c>
      <c r="J123" s="16" t="n">
        <f aca="false">IFERROR(INDEX('Shift Master'!$E$5:$E$16,MATCH(G123,'Shift Master'!$A$5:$A$16,0)),"")</f>
        <v>60</v>
      </c>
      <c r="K123" s="16" t="n">
        <f aca="false">IFERROR(INDEX('Shift Master'!$G$5:$G$16,MATCH(G123,'Shift Master'!$A$5:$A$16,0)),0)</f>
        <v>8</v>
      </c>
      <c r="L123" s="16" t="s">
        <v>228</v>
      </c>
      <c r="M123" s="16" t="s">
        <v>229</v>
      </c>
      <c r="N123" s="16" t="str">
        <f aca="false">IF(COUNTIFS('Staffing Coverage'!$A$5:$A$12,E123,'Staffing Coverage'!$B$5:$B$12,G123)=0,"",IF(COUNTIFS($A$5:$A$10004,A123,$E$5:$E$10004,E123,$G$5:$G$10004,G123)&lt;INDEX('Staffing Coverage'!$C$5:$C$12,MATCH(1,('Staffing Coverage'!$A$5:$A$12=E123)*('Staffing Coverage'!$B$5:$B$12=G123),0)),"SHORT","OK"))</f>
        <v/>
      </c>
    </row>
    <row r="124" customFormat="false" ht="15" hidden="false" customHeight="false" outlineLevel="0" collapsed="false">
      <c r="A124" s="15" t="n">
        <v>46301</v>
      </c>
      <c r="B124" s="16" t="str">
        <f aca="false">TEXT(A124,"ddd")</f>
        <v>Tue</v>
      </c>
      <c r="C124" s="10" t="s">
        <v>178</v>
      </c>
      <c r="D124" s="16" t="str">
        <f aca="false">IFERROR(INDEX('Staff Master'!$B$5:$B$24,MATCH(C124,'Staff Master'!$A$5:$A$24,0)),"")</f>
        <v>Meera Pillai</v>
      </c>
      <c r="E124" s="16" t="str">
        <f aca="false">IFERROR(INDEX('Staff Master'!$D$5:$D$24,MATCH(C124,'Staff Master'!$A$5:$A$24,0)),"")</f>
        <v>HR</v>
      </c>
      <c r="F124" s="16" t="str">
        <f aca="false">IFERROR(INDEX('Staff Master'!$E$5:$E$24,MATCH(C124,'Staff Master'!$A$5:$A$24,0)),"")</f>
        <v>HR Executive</v>
      </c>
      <c r="G124" s="10" t="s">
        <v>90</v>
      </c>
      <c r="H124" s="17" t="n">
        <f aca="false">IFERROR(INDEX('Shift Master'!$C$5:$C$16,MATCH(G124,'Shift Master'!$A$5:$A$16,0)),"")</f>
        <v>0.375</v>
      </c>
      <c r="I124" s="17" t="n">
        <f aca="false">IFERROR(INDEX('Shift Master'!$D$5:$D$16,MATCH(G124,'Shift Master'!$A$5:$A$16,0)),"")</f>
        <v>0.75</v>
      </c>
      <c r="J124" s="16" t="n">
        <f aca="false">IFERROR(INDEX('Shift Master'!$E$5:$E$16,MATCH(G124,'Shift Master'!$A$5:$A$16,0)),"")</f>
        <v>60</v>
      </c>
      <c r="K124" s="16" t="n">
        <f aca="false">IFERROR(INDEX('Shift Master'!$G$5:$G$16,MATCH(G124,'Shift Master'!$A$5:$A$16,0)),0)</f>
        <v>8</v>
      </c>
      <c r="L124" s="16" t="s">
        <v>228</v>
      </c>
      <c r="M124" s="16" t="s">
        <v>229</v>
      </c>
      <c r="N124" s="16" t="str">
        <f aca="false">IF(COUNTIFS('Staffing Coverage'!$A$5:$A$12,E124,'Staffing Coverage'!$B$5:$B$12,G124)=0,"",IF(COUNTIFS($A$5:$A$10004,A124,$E$5:$E$10004,E124,$G$5:$G$10004,G124)&lt;INDEX('Staffing Coverage'!$C$5:$C$12,MATCH(1,('Staffing Coverage'!$A$5:$A$12=E124)*('Staffing Coverage'!$B$5:$B$12=G124),0)),"SHORT","OK"))</f>
        <v/>
      </c>
    </row>
    <row r="125" customFormat="false" ht="15" hidden="false" customHeight="false" outlineLevel="0" collapsed="false">
      <c r="A125" s="15" t="n">
        <v>46302</v>
      </c>
      <c r="B125" s="16" t="str">
        <f aca="false">TEXT(A125,"ddd")</f>
        <v>Wed</v>
      </c>
      <c r="C125" s="10" t="s">
        <v>128</v>
      </c>
      <c r="D125" s="16" t="str">
        <f aca="false">IFERROR(INDEX('Staff Master'!$B$5:$B$24,MATCH(C125,'Staff Master'!$A$5:$A$24,0)),"")</f>
        <v>Rashid Al Nuaimi</v>
      </c>
      <c r="E125" s="16" t="str">
        <f aca="false">IFERROR(INDEX('Staff Master'!$D$5:$D$24,MATCH(C125,'Staff Master'!$A$5:$A$24,0)),"")</f>
        <v>Management</v>
      </c>
      <c r="F125" s="16" t="str">
        <f aca="false">IFERROR(INDEX('Staff Master'!$E$5:$E$24,MATCH(C125,'Staff Master'!$A$5:$A$24,0)),"")</f>
        <v>CEO</v>
      </c>
      <c r="G125" s="10" t="s">
        <v>90</v>
      </c>
      <c r="H125" s="17" t="n">
        <f aca="false">IFERROR(INDEX('Shift Master'!$C$5:$C$16,MATCH(G125,'Shift Master'!$A$5:$A$16,0)),"")</f>
        <v>0.375</v>
      </c>
      <c r="I125" s="17" t="n">
        <f aca="false">IFERROR(INDEX('Shift Master'!$D$5:$D$16,MATCH(G125,'Shift Master'!$A$5:$A$16,0)),"")</f>
        <v>0.75</v>
      </c>
      <c r="J125" s="16" t="n">
        <f aca="false">IFERROR(INDEX('Shift Master'!$E$5:$E$16,MATCH(G125,'Shift Master'!$A$5:$A$16,0)),"")</f>
        <v>60</v>
      </c>
      <c r="K125" s="16" t="n">
        <f aca="false">IFERROR(INDEX('Shift Master'!$G$5:$G$16,MATCH(G125,'Shift Master'!$A$5:$A$16,0)),0)</f>
        <v>8</v>
      </c>
      <c r="L125" s="16" t="s">
        <v>228</v>
      </c>
      <c r="M125" s="16" t="s">
        <v>229</v>
      </c>
      <c r="N125" s="16" t="str">
        <f aca="false">IF(COUNTIFS('Staffing Coverage'!$A$5:$A$12,E125,'Staffing Coverage'!$B$5:$B$12,G125)=0,"",IF(COUNTIFS($A$5:$A$10004,A125,$E$5:$E$10004,E125,$G$5:$G$10004,G125)&lt;INDEX('Staffing Coverage'!$C$5:$C$12,MATCH(1,('Staffing Coverage'!$A$5:$A$12=E125)*('Staffing Coverage'!$B$5:$B$12=G125),0)),"SHORT","OK"))</f>
        <v/>
      </c>
    </row>
    <row r="126" customFormat="false" ht="15" hidden="false" customHeight="false" outlineLevel="0" collapsed="false">
      <c r="A126" s="15" t="n">
        <v>46302</v>
      </c>
      <c r="B126" s="16" t="str">
        <f aca="false">TEXT(A126,"ddd")</f>
        <v>Wed</v>
      </c>
      <c r="C126" s="10" t="s">
        <v>137</v>
      </c>
      <c r="D126" s="16" t="str">
        <f aca="false">IFERROR(INDEX('Staff Master'!$B$5:$B$24,MATCH(C126,'Staff Master'!$A$5:$A$24,0)),"")</f>
        <v>Dr. Sara Haddad</v>
      </c>
      <c r="E126" s="16" t="str">
        <f aca="false">IFERROR(INDEX('Staff Master'!$D$5:$D$24,MATCH(C126,'Staff Master'!$A$5:$A$24,0)),"")</f>
        <v>General Practice</v>
      </c>
      <c r="F126" s="16" t="str">
        <f aca="false">IFERROR(INDEX('Staff Master'!$E$5:$E$24,MATCH(C126,'Staff Master'!$A$5:$A$24,0)),"")</f>
        <v>Medical Director</v>
      </c>
      <c r="G126" s="10" t="s">
        <v>96</v>
      </c>
      <c r="H126" s="17" t="n">
        <f aca="false">IFERROR(INDEX('Shift Master'!$C$5:$C$16,MATCH(G126,'Shift Master'!$A$5:$A$16,0)),"")</f>
        <v>0.375</v>
      </c>
      <c r="I126" s="17" t="n">
        <f aca="false">IFERROR(INDEX('Shift Master'!$D$5:$D$16,MATCH(G126,'Shift Master'!$A$5:$A$16,0)),"")</f>
        <v>0.708333333333333</v>
      </c>
      <c r="J126" s="16" t="n">
        <f aca="false">IFERROR(INDEX('Shift Master'!$E$5:$E$16,MATCH(G126,'Shift Master'!$A$5:$A$16,0)),"")</f>
        <v>60</v>
      </c>
      <c r="K126" s="16" t="n">
        <f aca="false">IFERROR(INDEX('Shift Master'!$G$5:$G$16,MATCH(G126,'Shift Master'!$A$5:$A$16,0)),0)</f>
        <v>7</v>
      </c>
      <c r="L126" s="16" t="s">
        <v>228</v>
      </c>
      <c r="M126" s="16" t="s">
        <v>229</v>
      </c>
      <c r="N126" s="16" t="str">
        <f aca="false">IF(COUNTIFS('Staffing Coverage'!$A$5:$A$12,E126,'Staffing Coverage'!$B$5:$B$12,G126)=0,"",IF(COUNTIFS($A$5:$A$10004,A126,$E$5:$E$10004,E126,$G$5:$G$10004,G126)&lt;INDEX('Staffing Coverage'!$C$5:$C$12,MATCH(1,('Staffing Coverage'!$A$5:$A$12=E126)*('Staffing Coverage'!$B$5:$B$12=G126),0)),"SHORT","OK"))</f>
        <v/>
      </c>
    </row>
    <row r="127" customFormat="false" ht="15" hidden="false" customHeight="false" outlineLevel="0" collapsed="false">
      <c r="A127" s="15" t="n">
        <v>46302</v>
      </c>
      <c r="B127" s="16" t="str">
        <f aca="false">TEXT(A127,"ddd")</f>
        <v>Wed</v>
      </c>
      <c r="C127" s="10" t="s">
        <v>142</v>
      </c>
      <c r="D127" s="16" t="str">
        <f aca="false">IFERROR(INDEX('Staff Master'!$B$5:$B$24,MATCH(C127,'Staff Master'!$A$5:$A$24,0)),"")</f>
        <v>Dr. Omar Khalil</v>
      </c>
      <c r="E127" s="16" t="str">
        <f aca="false">IFERROR(INDEX('Staff Master'!$D$5:$D$24,MATCH(C127,'Staff Master'!$A$5:$A$24,0)),"")</f>
        <v>General Practice</v>
      </c>
      <c r="F127" s="16" t="str">
        <f aca="false">IFERROR(INDEX('Staff Master'!$E$5:$E$24,MATCH(C127,'Staff Master'!$A$5:$A$24,0)),"")</f>
        <v>Doctor</v>
      </c>
      <c r="G127" s="10" t="s">
        <v>96</v>
      </c>
      <c r="H127" s="17" t="n">
        <f aca="false">IFERROR(INDEX('Shift Master'!$C$5:$C$16,MATCH(G127,'Shift Master'!$A$5:$A$16,0)),"")</f>
        <v>0.375</v>
      </c>
      <c r="I127" s="17" t="n">
        <f aca="false">IFERROR(INDEX('Shift Master'!$D$5:$D$16,MATCH(G127,'Shift Master'!$A$5:$A$16,0)),"")</f>
        <v>0.708333333333333</v>
      </c>
      <c r="J127" s="16" t="n">
        <f aca="false">IFERROR(INDEX('Shift Master'!$E$5:$E$16,MATCH(G127,'Shift Master'!$A$5:$A$16,0)),"")</f>
        <v>60</v>
      </c>
      <c r="K127" s="16" t="n">
        <f aca="false">IFERROR(INDEX('Shift Master'!$G$5:$G$16,MATCH(G127,'Shift Master'!$A$5:$A$16,0)),0)</f>
        <v>7</v>
      </c>
      <c r="L127" s="16" t="s">
        <v>228</v>
      </c>
      <c r="M127" s="16" t="s">
        <v>229</v>
      </c>
      <c r="N127" s="16" t="str">
        <f aca="false">IF(COUNTIFS('Staffing Coverage'!$A$5:$A$12,E127,'Staffing Coverage'!$B$5:$B$12,G127)=0,"",IF(COUNTIFS($A$5:$A$10004,A127,$E$5:$E$10004,E127,$G$5:$G$10004,G127)&lt;INDEX('Staffing Coverage'!$C$5:$C$12,MATCH(1,('Staffing Coverage'!$A$5:$A$12=E127)*('Staffing Coverage'!$B$5:$B$12=G127),0)),"SHORT","OK"))</f>
        <v/>
      </c>
    </row>
    <row r="128" customFormat="false" ht="15" hidden="false" customHeight="false" outlineLevel="0" collapsed="false">
      <c r="A128" s="15" t="n">
        <v>46302</v>
      </c>
      <c r="B128" s="16" t="str">
        <f aca="false">TEXT(A128,"ddd")</f>
        <v>Wed</v>
      </c>
      <c r="C128" s="10" t="s">
        <v>146</v>
      </c>
      <c r="D128" s="16" t="str">
        <f aca="false">IFERROR(INDEX('Staff Master'!$B$5:$B$24,MATCH(C128,'Staff Master'!$A$5:$A$24,0)),"")</f>
        <v>Dr. Lina Abboud</v>
      </c>
      <c r="E128" s="16" t="str">
        <f aca="false">IFERROR(INDEX('Staff Master'!$D$5:$D$24,MATCH(C128,'Staff Master'!$A$5:$A$24,0)),"")</f>
        <v>Dental</v>
      </c>
      <c r="F128" s="16" t="str">
        <f aca="false">IFERROR(INDEX('Staff Master'!$E$5:$E$24,MATCH(C128,'Staff Master'!$A$5:$A$24,0)),"")</f>
        <v>Dentist</v>
      </c>
      <c r="G128" s="10" t="s">
        <v>96</v>
      </c>
      <c r="H128" s="17" t="n">
        <f aca="false">IFERROR(INDEX('Shift Master'!$C$5:$C$16,MATCH(G128,'Shift Master'!$A$5:$A$16,0)),"")</f>
        <v>0.375</v>
      </c>
      <c r="I128" s="17" t="n">
        <f aca="false">IFERROR(INDEX('Shift Master'!$D$5:$D$16,MATCH(G128,'Shift Master'!$A$5:$A$16,0)),"")</f>
        <v>0.708333333333333</v>
      </c>
      <c r="J128" s="16" t="n">
        <f aca="false">IFERROR(INDEX('Shift Master'!$E$5:$E$16,MATCH(G128,'Shift Master'!$A$5:$A$16,0)),"")</f>
        <v>60</v>
      </c>
      <c r="K128" s="16" t="n">
        <f aca="false">IFERROR(INDEX('Shift Master'!$G$5:$G$16,MATCH(G128,'Shift Master'!$A$5:$A$16,0)),0)</f>
        <v>7</v>
      </c>
      <c r="L128" s="16" t="s">
        <v>228</v>
      </c>
      <c r="M128" s="16" t="s">
        <v>229</v>
      </c>
      <c r="N128" s="16" t="str">
        <f aca="false">IF(COUNTIFS('Staffing Coverage'!$A$5:$A$12,E128,'Staffing Coverage'!$B$5:$B$12,G128)=0,"",IF(COUNTIFS($A$5:$A$10004,A128,$E$5:$E$10004,E128,$G$5:$G$10004,G128)&lt;INDEX('Staffing Coverage'!$C$5:$C$12,MATCH(1,('Staffing Coverage'!$A$5:$A$12=E128)*('Staffing Coverage'!$B$5:$B$12=G128),0)),"SHORT","OK"))</f>
        <v/>
      </c>
    </row>
    <row r="129" customFormat="false" ht="15" hidden="false" customHeight="false" outlineLevel="0" collapsed="false">
      <c r="A129" s="15" t="n">
        <v>46302</v>
      </c>
      <c r="B129" s="16" t="str">
        <f aca="false">TEXT(A129,"ddd")</f>
        <v>Wed</v>
      </c>
      <c r="C129" s="10" t="s">
        <v>150</v>
      </c>
      <c r="D129" s="16" t="str">
        <f aca="false">IFERROR(INDEX('Staff Master'!$B$5:$B$24,MATCH(C129,'Staff Master'!$A$5:$A$24,0)),"")</f>
        <v>Dr. Farah Idris</v>
      </c>
      <c r="E129" s="16" t="str">
        <f aca="false">IFERROR(INDEX('Staff Master'!$D$5:$D$24,MATCH(C129,'Staff Master'!$A$5:$A$24,0)),"")</f>
        <v>Dental</v>
      </c>
      <c r="F129" s="16" t="str">
        <f aca="false">IFERROR(INDEX('Staff Master'!$E$5:$E$24,MATCH(C129,'Staff Master'!$A$5:$A$24,0)),"")</f>
        <v>Dentist</v>
      </c>
      <c r="G129" s="10" t="s">
        <v>96</v>
      </c>
      <c r="H129" s="17" t="n">
        <f aca="false">IFERROR(INDEX('Shift Master'!$C$5:$C$16,MATCH(G129,'Shift Master'!$A$5:$A$16,0)),"")</f>
        <v>0.375</v>
      </c>
      <c r="I129" s="17" t="n">
        <f aca="false">IFERROR(INDEX('Shift Master'!$D$5:$D$16,MATCH(G129,'Shift Master'!$A$5:$A$16,0)),"")</f>
        <v>0.708333333333333</v>
      </c>
      <c r="J129" s="16" t="n">
        <f aca="false">IFERROR(INDEX('Shift Master'!$E$5:$E$16,MATCH(G129,'Shift Master'!$A$5:$A$16,0)),"")</f>
        <v>60</v>
      </c>
      <c r="K129" s="16" t="n">
        <f aca="false">IFERROR(INDEX('Shift Master'!$G$5:$G$16,MATCH(G129,'Shift Master'!$A$5:$A$16,0)),0)</f>
        <v>7</v>
      </c>
      <c r="L129" s="16" t="s">
        <v>228</v>
      </c>
      <c r="M129" s="16" t="s">
        <v>229</v>
      </c>
      <c r="N129" s="16" t="str">
        <f aca="false">IF(COUNTIFS('Staffing Coverage'!$A$5:$A$12,E129,'Staffing Coverage'!$B$5:$B$12,G129)=0,"",IF(COUNTIFS($A$5:$A$10004,A129,$E$5:$E$10004,E129,$G$5:$G$10004,G129)&lt;INDEX('Staffing Coverage'!$C$5:$C$12,MATCH(1,('Staffing Coverage'!$A$5:$A$12=E129)*('Staffing Coverage'!$B$5:$B$12=G129),0)),"SHORT","OK"))</f>
        <v/>
      </c>
    </row>
    <row r="130" customFormat="false" ht="15" hidden="false" customHeight="false" outlineLevel="0" collapsed="false">
      <c r="A130" s="15" t="n">
        <v>46302</v>
      </c>
      <c r="B130" s="16" t="str">
        <f aca="false">TEXT(A130,"ddd")</f>
        <v>Wed</v>
      </c>
      <c r="C130" s="10" t="s">
        <v>157</v>
      </c>
      <c r="D130" s="16" t="str">
        <f aca="false">IFERROR(INDEX('Staff Master'!$B$5:$B$24,MATCH(C130,'Staff Master'!$A$5:$A$24,0)),"")</f>
        <v>Dr. Youssef Nassar</v>
      </c>
      <c r="E130" s="16" t="str">
        <f aca="false">IFERROR(INDEX('Staff Master'!$D$5:$D$24,MATCH(C130,'Staff Master'!$A$5:$A$24,0)),"")</f>
        <v>General Practice</v>
      </c>
      <c r="F130" s="16" t="str">
        <f aca="false">IFERROR(INDEX('Staff Master'!$E$5:$E$24,MATCH(C130,'Staff Master'!$A$5:$A$24,0)),"")</f>
        <v>General Practitioner</v>
      </c>
      <c r="G130" s="10" t="s">
        <v>96</v>
      </c>
      <c r="H130" s="17" t="n">
        <f aca="false">IFERROR(INDEX('Shift Master'!$C$5:$C$16,MATCH(G130,'Shift Master'!$A$5:$A$16,0)),"")</f>
        <v>0.375</v>
      </c>
      <c r="I130" s="17" t="n">
        <f aca="false">IFERROR(INDEX('Shift Master'!$D$5:$D$16,MATCH(G130,'Shift Master'!$A$5:$A$16,0)),"")</f>
        <v>0.708333333333333</v>
      </c>
      <c r="J130" s="16" t="n">
        <f aca="false">IFERROR(INDEX('Shift Master'!$E$5:$E$16,MATCH(G130,'Shift Master'!$A$5:$A$16,0)),"")</f>
        <v>60</v>
      </c>
      <c r="K130" s="16" t="n">
        <f aca="false">IFERROR(INDEX('Shift Master'!$G$5:$G$16,MATCH(G130,'Shift Master'!$A$5:$A$16,0)),0)</f>
        <v>7</v>
      </c>
      <c r="L130" s="16" t="s">
        <v>228</v>
      </c>
      <c r="M130" s="16" t="s">
        <v>229</v>
      </c>
      <c r="N130" s="16" t="str">
        <f aca="false">IF(COUNTIFS('Staffing Coverage'!$A$5:$A$12,E130,'Staffing Coverage'!$B$5:$B$12,G130)=0,"",IF(COUNTIFS($A$5:$A$10004,A130,$E$5:$E$10004,E130,$G$5:$G$10004,G130)&lt;INDEX('Staffing Coverage'!$C$5:$C$12,MATCH(1,('Staffing Coverage'!$A$5:$A$12=E130)*('Staffing Coverage'!$B$5:$B$12=G130),0)),"SHORT","OK"))</f>
        <v/>
      </c>
    </row>
    <row r="131" customFormat="false" ht="15" hidden="false" customHeight="false" outlineLevel="0" collapsed="false">
      <c r="A131" s="15" t="n">
        <v>46302</v>
      </c>
      <c r="B131" s="16" t="str">
        <f aca="false">TEXT(A131,"ddd")</f>
        <v>Wed</v>
      </c>
      <c r="C131" s="10" t="s">
        <v>161</v>
      </c>
      <c r="D131" s="16" t="str">
        <f aca="false">IFERROR(INDEX('Staff Master'!$B$5:$B$24,MATCH(C131,'Staff Master'!$A$5:$A$24,0)),"")</f>
        <v>Grace Fernandez</v>
      </c>
      <c r="E131" s="16" t="str">
        <f aca="false">IFERROR(INDEX('Staff Master'!$D$5:$D$24,MATCH(C131,'Staff Master'!$A$5:$A$24,0)),"")</f>
        <v>Nursing</v>
      </c>
      <c r="F131" s="16" t="str">
        <f aca="false">IFERROR(INDEX('Staff Master'!$E$5:$E$24,MATCH(C131,'Staff Master'!$A$5:$A$24,0)),"")</f>
        <v>Nurse</v>
      </c>
      <c r="G131" s="10" t="s">
        <v>87</v>
      </c>
      <c r="H131" s="17" t="n">
        <f aca="false">IFERROR(INDEX('Shift Master'!$C$5:$C$16,MATCH(G131,'Shift Master'!$A$5:$A$16,0)),"")</f>
        <v>0.333333333333333</v>
      </c>
      <c r="I131" s="17" t="n">
        <f aca="false">IFERROR(INDEX('Shift Master'!$D$5:$D$16,MATCH(G131,'Shift Master'!$A$5:$A$16,0)),"")</f>
        <v>0.708333333333333</v>
      </c>
      <c r="J131" s="16" t="n">
        <f aca="false">IFERROR(INDEX('Shift Master'!$E$5:$E$16,MATCH(G131,'Shift Master'!$A$5:$A$16,0)),"")</f>
        <v>60</v>
      </c>
      <c r="K131" s="16" t="n">
        <f aca="false">IFERROR(INDEX('Shift Master'!$G$5:$G$16,MATCH(G131,'Shift Master'!$A$5:$A$16,0)),0)</f>
        <v>8</v>
      </c>
      <c r="L131" s="16" t="s">
        <v>228</v>
      </c>
      <c r="M131" s="16" t="s">
        <v>229</v>
      </c>
      <c r="N131" s="16" t="str">
        <f aca="false">IF(COUNTIFS('Staffing Coverage'!$A$5:$A$12,E131,'Staffing Coverage'!$B$5:$B$12,G131)=0,"",IF(COUNTIFS($A$5:$A$10004,A131,$E$5:$E$10004,E131,$G$5:$G$10004,G131)&lt;INDEX('Staffing Coverage'!$C$5:$C$12,MATCH(1,('Staffing Coverage'!$A$5:$A$12=E131)*('Staffing Coverage'!$B$5:$B$12=G131),0)),"SHORT","OK"))</f>
        <v>OK</v>
      </c>
    </row>
    <row r="132" customFormat="false" ht="15" hidden="false" customHeight="false" outlineLevel="0" collapsed="false">
      <c r="A132" s="15" t="n">
        <v>46302</v>
      </c>
      <c r="B132" s="16" t="str">
        <f aca="false">TEXT(A132,"ddd")</f>
        <v>Wed</v>
      </c>
      <c r="C132" s="10" t="s">
        <v>165</v>
      </c>
      <c r="D132" s="16" t="str">
        <f aca="false">IFERROR(INDEX('Staff Master'!$B$5:$B$24,MATCH(C132,'Staff Master'!$A$5:$A$24,0)),"")</f>
        <v>Priya Nair</v>
      </c>
      <c r="E132" s="16" t="str">
        <f aca="false">IFERROR(INDEX('Staff Master'!$D$5:$D$24,MATCH(C132,'Staff Master'!$A$5:$A$24,0)),"")</f>
        <v>Nursing</v>
      </c>
      <c r="F132" s="16" t="str">
        <f aca="false">IFERROR(INDEX('Staff Master'!$E$5:$E$24,MATCH(C132,'Staff Master'!$A$5:$A$24,0)),"")</f>
        <v>Nurse</v>
      </c>
      <c r="G132" s="10" t="s">
        <v>100</v>
      </c>
      <c r="H132" s="17" t="n">
        <f aca="false">IFERROR(INDEX('Shift Master'!$C$5:$C$16,MATCH(G132,'Shift Master'!$A$5:$A$16,0)),"")</f>
        <v>0</v>
      </c>
      <c r="I132" s="17" t="n">
        <f aca="false">IFERROR(INDEX('Shift Master'!$D$5:$D$16,MATCH(G132,'Shift Master'!$A$5:$A$16,0)),"")</f>
        <v>0</v>
      </c>
      <c r="J132" s="16" t="n">
        <f aca="false">IFERROR(INDEX('Shift Master'!$E$5:$E$16,MATCH(G132,'Shift Master'!$A$5:$A$16,0)),"")</f>
        <v>0</v>
      </c>
      <c r="K132" s="16" t="n">
        <f aca="false">IFERROR(INDEX('Shift Master'!$G$5:$G$16,MATCH(G132,'Shift Master'!$A$5:$A$16,0)),0)</f>
        <v>0</v>
      </c>
      <c r="L132" s="16" t="s">
        <v>228</v>
      </c>
      <c r="M132" s="16" t="s">
        <v>229</v>
      </c>
      <c r="N132" s="16" t="str">
        <f aca="false">IF(COUNTIFS('Staffing Coverage'!$A$5:$A$12,E132,'Staffing Coverage'!$B$5:$B$12,G132)=0,"",IF(COUNTIFS($A$5:$A$10004,A132,$E$5:$E$10004,E132,$G$5:$G$10004,G132)&lt;INDEX('Staffing Coverage'!$C$5:$C$12,MATCH(1,('Staffing Coverage'!$A$5:$A$12=E132)*('Staffing Coverage'!$B$5:$B$12=G132),0)),"SHORT","OK"))</f>
        <v/>
      </c>
    </row>
    <row r="133" customFormat="false" ht="15" hidden="false" customHeight="false" outlineLevel="0" collapsed="false">
      <c r="A133" s="15" t="n">
        <v>46302</v>
      </c>
      <c r="B133" s="16" t="str">
        <f aca="false">TEXT(A133,"ddd")</f>
        <v>Wed</v>
      </c>
      <c r="C133" s="10" t="s">
        <v>170</v>
      </c>
      <c r="D133" s="16" t="str">
        <f aca="false">IFERROR(INDEX('Staff Master'!$B$5:$B$24,MATCH(C133,'Staff Master'!$A$5:$A$24,0)),"")</f>
        <v>Maria Santos</v>
      </c>
      <c r="E133" s="16" t="str">
        <f aca="false">IFERROR(INDEX('Staff Master'!$D$5:$D$24,MATCH(C133,'Staff Master'!$A$5:$A$24,0)),"")</f>
        <v>Nursing</v>
      </c>
      <c r="F133" s="16" t="str">
        <f aca="false">IFERROR(INDEX('Staff Master'!$E$5:$E$24,MATCH(C133,'Staff Master'!$A$5:$A$24,0)),"")</f>
        <v>Nurse</v>
      </c>
      <c r="G133" s="10" t="s">
        <v>94</v>
      </c>
      <c r="H133" s="17" t="n">
        <f aca="false">IFERROR(INDEX('Shift Master'!$C$5:$C$16,MATCH(G133,'Shift Master'!$A$5:$A$16,0)),"")</f>
        <v>0.541666666666667</v>
      </c>
      <c r="I133" s="17" t="n">
        <f aca="false">IFERROR(INDEX('Shift Master'!$D$5:$D$16,MATCH(G133,'Shift Master'!$A$5:$A$16,0)),"")</f>
        <v>0.916666666666667</v>
      </c>
      <c r="J133" s="16" t="n">
        <f aca="false">IFERROR(INDEX('Shift Master'!$E$5:$E$16,MATCH(G133,'Shift Master'!$A$5:$A$16,0)),"")</f>
        <v>60</v>
      </c>
      <c r="K133" s="16" t="n">
        <f aca="false">IFERROR(INDEX('Shift Master'!$G$5:$G$16,MATCH(G133,'Shift Master'!$A$5:$A$16,0)),0)</f>
        <v>8</v>
      </c>
      <c r="L133" s="16" t="s">
        <v>228</v>
      </c>
      <c r="M133" s="16" t="s">
        <v>229</v>
      </c>
      <c r="N133" s="16" t="str">
        <f aca="false">IF(COUNTIFS('Staffing Coverage'!$A$5:$A$12,E133,'Staffing Coverage'!$B$5:$B$12,G133)=0,"",IF(COUNTIFS($A$5:$A$10004,A133,$E$5:$E$10004,E133,$G$5:$G$10004,G133)&lt;INDEX('Staffing Coverage'!$C$5:$C$12,MATCH(1,('Staffing Coverage'!$A$5:$A$12=E133)*('Staffing Coverage'!$B$5:$B$12=G133),0)),"SHORT","OK"))</f>
        <v/>
      </c>
    </row>
    <row r="134" customFormat="false" ht="15" hidden="false" customHeight="false" outlineLevel="0" collapsed="false">
      <c r="A134" s="15" t="n">
        <v>46302</v>
      </c>
      <c r="B134" s="16" t="str">
        <f aca="false">TEXT(A134,"ddd")</f>
        <v>Wed</v>
      </c>
      <c r="C134" s="10" t="s">
        <v>174</v>
      </c>
      <c r="D134" s="16" t="str">
        <f aca="false">IFERROR(INDEX('Staff Master'!$B$5:$B$24,MATCH(C134,'Staff Master'!$A$5:$A$24,0)),"")</f>
        <v>Aisha Al Shamsi</v>
      </c>
      <c r="E134" s="16" t="str">
        <f aca="false">IFERROR(INDEX('Staff Master'!$D$5:$D$24,MATCH(C134,'Staff Master'!$A$5:$A$24,0)),"")</f>
        <v>Reception</v>
      </c>
      <c r="F134" s="16" t="str">
        <f aca="false">IFERROR(INDEX('Staff Master'!$E$5:$E$24,MATCH(C134,'Staff Master'!$A$5:$A$24,0)),"")</f>
        <v>Receptionist</v>
      </c>
      <c r="G134" s="10" t="s">
        <v>87</v>
      </c>
      <c r="H134" s="17" t="n">
        <f aca="false">IFERROR(INDEX('Shift Master'!$C$5:$C$16,MATCH(G134,'Shift Master'!$A$5:$A$16,0)),"")</f>
        <v>0.333333333333333</v>
      </c>
      <c r="I134" s="17" t="n">
        <f aca="false">IFERROR(INDEX('Shift Master'!$D$5:$D$16,MATCH(G134,'Shift Master'!$A$5:$A$16,0)),"")</f>
        <v>0.708333333333333</v>
      </c>
      <c r="J134" s="16" t="n">
        <f aca="false">IFERROR(INDEX('Shift Master'!$E$5:$E$16,MATCH(G134,'Shift Master'!$A$5:$A$16,0)),"")</f>
        <v>60</v>
      </c>
      <c r="K134" s="16" t="n">
        <f aca="false">IFERROR(INDEX('Shift Master'!$G$5:$G$16,MATCH(G134,'Shift Master'!$A$5:$A$16,0)),0)</f>
        <v>8</v>
      </c>
      <c r="L134" s="16" t="s">
        <v>228</v>
      </c>
      <c r="M134" s="16" t="s">
        <v>229</v>
      </c>
      <c r="N134" s="16" t="str">
        <f aca="false">IF(COUNTIFS('Staffing Coverage'!$A$5:$A$12,E134,'Staffing Coverage'!$B$5:$B$12,G134)=0,"",IF(COUNTIFS($A$5:$A$10004,A134,$E$5:$E$10004,E134,$G$5:$G$10004,G134)&lt;INDEX('Staffing Coverage'!$C$5:$C$12,MATCH(1,('Staffing Coverage'!$A$5:$A$12=E134)*('Staffing Coverage'!$B$5:$B$12=G134),0)),"SHORT","OK"))</f>
        <v>SHORT</v>
      </c>
    </row>
    <row r="135" customFormat="false" ht="15" hidden="false" customHeight="false" outlineLevel="0" collapsed="false">
      <c r="A135" s="15" t="n">
        <v>46302</v>
      </c>
      <c r="B135" s="16" t="str">
        <f aca="false">TEXT(A135,"ddd")</f>
        <v>Wed</v>
      </c>
      <c r="C135" s="10" t="s">
        <v>179</v>
      </c>
      <c r="D135" s="16" t="str">
        <f aca="false">IFERROR(INDEX('Staff Master'!$B$5:$B$24,MATCH(C135,'Staff Master'!$A$5:$A$24,0)),"")</f>
        <v>John Dsouza</v>
      </c>
      <c r="E135" s="16" t="str">
        <f aca="false">IFERROR(INDEX('Staff Master'!$D$5:$D$24,MATCH(C135,'Staff Master'!$A$5:$A$24,0)),"")</f>
        <v>Reception</v>
      </c>
      <c r="F135" s="16" t="str">
        <f aca="false">IFERROR(INDEX('Staff Master'!$E$5:$E$24,MATCH(C135,'Staff Master'!$A$5:$A$24,0)),"")</f>
        <v>Receptionist</v>
      </c>
      <c r="G135" s="10" t="s">
        <v>90</v>
      </c>
      <c r="H135" s="17" t="n">
        <f aca="false">IFERROR(INDEX('Shift Master'!$C$5:$C$16,MATCH(G135,'Shift Master'!$A$5:$A$16,0)),"")</f>
        <v>0.375</v>
      </c>
      <c r="I135" s="17" t="n">
        <f aca="false">IFERROR(INDEX('Shift Master'!$D$5:$D$16,MATCH(G135,'Shift Master'!$A$5:$A$16,0)),"")</f>
        <v>0.75</v>
      </c>
      <c r="J135" s="16" t="n">
        <f aca="false">IFERROR(INDEX('Shift Master'!$E$5:$E$16,MATCH(G135,'Shift Master'!$A$5:$A$16,0)),"")</f>
        <v>60</v>
      </c>
      <c r="K135" s="16" t="n">
        <f aca="false">IFERROR(INDEX('Shift Master'!$G$5:$G$16,MATCH(G135,'Shift Master'!$A$5:$A$16,0)),0)</f>
        <v>8</v>
      </c>
      <c r="L135" s="16" t="s">
        <v>228</v>
      </c>
      <c r="M135" s="16" t="s">
        <v>229</v>
      </c>
      <c r="N135" s="16" t="str">
        <f aca="false">IF(COUNTIFS('Staffing Coverage'!$A$5:$A$12,E135,'Staffing Coverage'!$B$5:$B$12,G135)=0,"",IF(COUNTIFS($A$5:$A$10004,A135,$E$5:$E$10004,E135,$G$5:$G$10004,G135)&lt;INDEX('Staffing Coverage'!$C$5:$C$12,MATCH(1,('Staffing Coverage'!$A$5:$A$12=E135)*('Staffing Coverage'!$B$5:$B$12=G135),0)),"SHORT","OK"))</f>
        <v>SHORT</v>
      </c>
    </row>
    <row r="136" customFormat="false" ht="15" hidden="false" customHeight="false" outlineLevel="0" collapsed="false">
      <c r="A136" s="15" t="n">
        <v>46302</v>
      </c>
      <c r="B136" s="16" t="str">
        <f aca="false">TEXT(A136,"ddd")</f>
        <v>Wed</v>
      </c>
      <c r="C136" s="10" t="s">
        <v>184</v>
      </c>
      <c r="D136" s="16" t="str">
        <f aca="false">IFERROR(INDEX('Staff Master'!$B$5:$B$24,MATCH(C136,'Staff Master'!$A$5:$A$24,0)),"")</f>
        <v>Fatima Zahra</v>
      </c>
      <c r="E136" s="16" t="str">
        <f aca="false">IFERROR(INDEX('Staff Master'!$D$5:$D$24,MATCH(C136,'Staff Master'!$A$5:$A$24,0)),"")</f>
        <v>Reception</v>
      </c>
      <c r="F136" s="16" t="str">
        <f aca="false">IFERROR(INDEX('Staff Master'!$E$5:$E$24,MATCH(C136,'Staff Master'!$A$5:$A$24,0)),"")</f>
        <v>Receptionist</v>
      </c>
      <c r="G136" s="10" t="s">
        <v>94</v>
      </c>
      <c r="H136" s="17" t="n">
        <f aca="false">IFERROR(INDEX('Shift Master'!$C$5:$C$16,MATCH(G136,'Shift Master'!$A$5:$A$16,0)),"")</f>
        <v>0.541666666666667</v>
      </c>
      <c r="I136" s="17" t="n">
        <f aca="false">IFERROR(INDEX('Shift Master'!$D$5:$D$16,MATCH(G136,'Shift Master'!$A$5:$A$16,0)),"")</f>
        <v>0.916666666666667</v>
      </c>
      <c r="J136" s="16" t="n">
        <f aca="false">IFERROR(INDEX('Shift Master'!$E$5:$E$16,MATCH(G136,'Shift Master'!$A$5:$A$16,0)),"")</f>
        <v>60</v>
      </c>
      <c r="K136" s="16" t="n">
        <f aca="false">IFERROR(INDEX('Shift Master'!$G$5:$G$16,MATCH(G136,'Shift Master'!$A$5:$A$16,0)),0)</f>
        <v>8</v>
      </c>
      <c r="L136" s="16" t="s">
        <v>228</v>
      </c>
      <c r="M136" s="16" t="s">
        <v>229</v>
      </c>
      <c r="N136" s="16" t="str">
        <f aca="false">IF(COUNTIFS('Staffing Coverage'!$A$5:$A$12,E136,'Staffing Coverage'!$B$5:$B$12,G136)=0,"",IF(COUNTIFS($A$5:$A$10004,A136,$E$5:$E$10004,E136,$G$5:$G$10004,G136)&lt;INDEX('Staffing Coverage'!$C$5:$C$12,MATCH(1,('Staffing Coverage'!$A$5:$A$12=E136)*('Staffing Coverage'!$B$5:$B$12=G136),0)),"SHORT","OK"))</f>
        <v>OK</v>
      </c>
    </row>
    <row r="137" customFormat="false" ht="15" hidden="false" customHeight="false" outlineLevel="0" collapsed="false">
      <c r="A137" s="15" t="n">
        <v>46302</v>
      </c>
      <c r="B137" s="16" t="str">
        <f aca="false">TEXT(A137,"ddd")</f>
        <v>Wed</v>
      </c>
      <c r="C137" s="10" t="s">
        <v>188</v>
      </c>
      <c r="D137" s="16" t="str">
        <f aca="false">IFERROR(INDEX('Staff Master'!$B$5:$B$24,MATCH(C137,'Staff Master'!$A$5:$A$24,0)),"")</f>
        <v>Ana Reyes</v>
      </c>
      <c r="E137" s="16" t="str">
        <f aca="false">IFERROR(INDEX('Staff Master'!$D$5:$D$24,MATCH(C137,'Staff Master'!$A$5:$A$24,0)),"")</f>
        <v>Dental</v>
      </c>
      <c r="F137" s="16" t="str">
        <f aca="false">IFERROR(INDEX('Staff Master'!$E$5:$E$24,MATCH(C137,'Staff Master'!$A$5:$A$24,0)),"")</f>
        <v>Dental Assistant</v>
      </c>
      <c r="G137" s="10" t="s">
        <v>87</v>
      </c>
      <c r="H137" s="17" t="n">
        <f aca="false">IFERROR(INDEX('Shift Master'!$C$5:$C$16,MATCH(G137,'Shift Master'!$A$5:$A$16,0)),"")</f>
        <v>0.333333333333333</v>
      </c>
      <c r="I137" s="17" t="n">
        <f aca="false">IFERROR(INDEX('Shift Master'!$D$5:$D$16,MATCH(G137,'Shift Master'!$A$5:$A$16,0)),"")</f>
        <v>0.708333333333333</v>
      </c>
      <c r="J137" s="16" t="n">
        <f aca="false">IFERROR(INDEX('Shift Master'!$E$5:$E$16,MATCH(G137,'Shift Master'!$A$5:$A$16,0)),"")</f>
        <v>60</v>
      </c>
      <c r="K137" s="16" t="n">
        <f aca="false">IFERROR(INDEX('Shift Master'!$G$5:$G$16,MATCH(G137,'Shift Master'!$A$5:$A$16,0)),0)</f>
        <v>8</v>
      </c>
      <c r="L137" s="16" t="s">
        <v>228</v>
      </c>
      <c r="M137" s="16" t="s">
        <v>229</v>
      </c>
      <c r="N137" s="16" t="str">
        <f aca="false">IF(COUNTIFS('Staffing Coverage'!$A$5:$A$12,E137,'Staffing Coverage'!$B$5:$B$12,G137)=0,"",IF(COUNTIFS($A$5:$A$10004,A137,$E$5:$E$10004,E137,$G$5:$G$10004,G137)&lt;INDEX('Staffing Coverage'!$C$5:$C$12,MATCH(1,('Staffing Coverage'!$A$5:$A$12=E137)*('Staffing Coverage'!$B$5:$B$12=G137),0)),"SHORT","OK"))</f>
        <v>OK</v>
      </c>
    </row>
    <row r="138" customFormat="false" ht="15" hidden="false" customHeight="false" outlineLevel="0" collapsed="false">
      <c r="A138" s="15" t="n">
        <v>46302</v>
      </c>
      <c r="B138" s="16" t="str">
        <f aca="false">TEXT(A138,"ddd")</f>
        <v>Wed</v>
      </c>
      <c r="C138" s="10" t="s">
        <v>192</v>
      </c>
      <c r="D138" s="16" t="str">
        <f aca="false">IFERROR(INDEX('Staff Master'!$B$5:$B$24,MATCH(C138,'Staff Master'!$A$5:$A$24,0)),"")</f>
        <v>Noor Hassan</v>
      </c>
      <c r="E138" s="16" t="str">
        <f aca="false">IFERROR(INDEX('Staff Master'!$D$5:$D$24,MATCH(C138,'Staff Master'!$A$5:$A$24,0)),"")</f>
        <v>Dental</v>
      </c>
      <c r="F138" s="16" t="str">
        <f aca="false">IFERROR(INDEX('Staff Master'!$E$5:$E$24,MATCH(C138,'Staff Master'!$A$5:$A$24,0)),"")</f>
        <v>Dental Assistant</v>
      </c>
      <c r="G138" s="10" t="s">
        <v>90</v>
      </c>
      <c r="H138" s="17" t="n">
        <f aca="false">IFERROR(INDEX('Shift Master'!$C$5:$C$16,MATCH(G138,'Shift Master'!$A$5:$A$16,0)),"")</f>
        <v>0.375</v>
      </c>
      <c r="I138" s="17" t="n">
        <f aca="false">IFERROR(INDEX('Shift Master'!$D$5:$D$16,MATCH(G138,'Shift Master'!$A$5:$A$16,0)),"")</f>
        <v>0.75</v>
      </c>
      <c r="J138" s="16" t="n">
        <f aca="false">IFERROR(INDEX('Shift Master'!$E$5:$E$16,MATCH(G138,'Shift Master'!$A$5:$A$16,0)),"")</f>
        <v>60</v>
      </c>
      <c r="K138" s="16" t="n">
        <f aca="false">IFERROR(INDEX('Shift Master'!$G$5:$G$16,MATCH(G138,'Shift Master'!$A$5:$A$16,0)),0)</f>
        <v>8</v>
      </c>
      <c r="L138" s="16" t="s">
        <v>228</v>
      </c>
      <c r="M138" s="16" t="s">
        <v>229</v>
      </c>
      <c r="N138" s="16" t="str">
        <f aca="false">IF(COUNTIFS('Staffing Coverage'!$A$5:$A$12,E138,'Staffing Coverage'!$B$5:$B$12,G138)=0,"",IF(COUNTIFS($A$5:$A$10004,A138,$E$5:$E$10004,E138,$G$5:$G$10004,G138)&lt;INDEX('Staffing Coverage'!$C$5:$C$12,MATCH(1,('Staffing Coverage'!$A$5:$A$12=E138)*('Staffing Coverage'!$B$5:$B$12=G138),0)),"SHORT","OK"))</f>
        <v/>
      </c>
    </row>
    <row r="139" customFormat="false" ht="15" hidden="false" customHeight="false" outlineLevel="0" collapsed="false">
      <c r="A139" s="15" t="n">
        <v>46302</v>
      </c>
      <c r="B139" s="16" t="str">
        <f aca="false">TEXT(A139,"ddd")</f>
        <v>Wed</v>
      </c>
      <c r="C139" s="10" t="s">
        <v>196</v>
      </c>
      <c r="D139" s="16" t="str">
        <f aca="false">IFERROR(INDEX('Staff Master'!$B$5:$B$24,MATCH(C139,'Staff Master'!$A$5:$A$24,0)),"")</f>
        <v>Karan Mehta</v>
      </c>
      <c r="E139" s="16" t="str">
        <f aca="false">IFERROR(INDEX('Staff Master'!$D$5:$D$24,MATCH(C139,'Staff Master'!$A$5:$A$24,0)),"")</f>
        <v>Laser</v>
      </c>
      <c r="F139" s="16" t="str">
        <f aca="false">IFERROR(INDEX('Staff Master'!$E$5:$E$24,MATCH(C139,'Staff Master'!$A$5:$A$24,0)),"")</f>
        <v>Laser Technician</v>
      </c>
      <c r="G139" s="10" t="s">
        <v>90</v>
      </c>
      <c r="H139" s="17" t="n">
        <f aca="false">IFERROR(INDEX('Shift Master'!$C$5:$C$16,MATCH(G139,'Shift Master'!$A$5:$A$16,0)),"")</f>
        <v>0.375</v>
      </c>
      <c r="I139" s="17" t="n">
        <f aca="false">IFERROR(INDEX('Shift Master'!$D$5:$D$16,MATCH(G139,'Shift Master'!$A$5:$A$16,0)),"")</f>
        <v>0.75</v>
      </c>
      <c r="J139" s="16" t="n">
        <f aca="false">IFERROR(INDEX('Shift Master'!$E$5:$E$16,MATCH(G139,'Shift Master'!$A$5:$A$16,0)),"")</f>
        <v>60</v>
      </c>
      <c r="K139" s="16" t="n">
        <f aca="false">IFERROR(INDEX('Shift Master'!$G$5:$G$16,MATCH(G139,'Shift Master'!$A$5:$A$16,0)),0)</f>
        <v>8</v>
      </c>
      <c r="L139" s="16" t="s">
        <v>228</v>
      </c>
      <c r="M139" s="16" t="s">
        <v>229</v>
      </c>
      <c r="N139" s="16" t="str">
        <f aca="false">IF(COUNTIFS('Staffing Coverage'!$A$5:$A$12,E139,'Staffing Coverage'!$B$5:$B$12,G139)=0,"",IF(COUNTIFS($A$5:$A$10004,A139,$E$5:$E$10004,E139,$G$5:$G$10004,G139)&lt;INDEX('Staffing Coverage'!$C$5:$C$12,MATCH(1,('Staffing Coverage'!$A$5:$A$12=E139)*('Staffing Coverage'!$B$5:$B$12=G139),0)),"SHORT","OK"))</f>
        <v/>
      </c>
    </row>
    <row r="140" customFormat="false" ht="15" hidden="false" customHeight="false" outlineLevel="0" collapsed="false">
      <c r="A140" s="15" t="n">
        <v>46302</v>
      </c>
      <c r="B140" s="16" t="str">
        <f aca="false">TEXT(A140,"ddd")</f>
        <v>Wed</v>
      </c>
      <c r="C140" s="10" t="s">
        <v>200</v>
      </c>
      <c r="D140" s="16" t="str">
        <f aca="false">IFERROR(INDEX('Staff Master'!$B$5:$B$24,MATCH(C140,'Staff Master'!$A$5:$A$24,0)),"")</f>
        <v>Imran Sheikh</v>
      </c>
      <c r="E140" s="16" t="str">
        <f aca="false">IFERROR(INDEX('Staff Master'!$D$5:$D$24,MATCH(C140,'Staff Master'!$A$5:$A$24,0)),"")</f>
        <v>Dental Laboratory</v>
      </c>
      <c r="F140" s="16" t="str">
        <f aca="false">IFERROR(INDEX('Staff Master'!$E$5:$E$24,MATCH(C140,'Staff Master'!$A$5:$A$24,0)),"")</f>
        <v>Dental Technician</v>
      </c>
      <c r="G140" s="10" t="s">
        <v>87</v>
      </c>
      <c r="H140" s="17" t="n">
        <f aca="false">IFERROR(INDEX('Shift Master'!$C$5:$C$16,MATCH(G140,'Shift Master'!$A$5:$A$16,0)),"")</f>
        <v>0.333333333333333</v>
      </c>
      <c r="I140" s="17" t="n">
        <f aca="false">IFERROR(INDEX('Shift Master'!$D$5:$D$16,MATCH(G140,'Shift Master'!$A$5:$A$16,0)),"")</f>
        <v>0.708333333333333</v>
      </c>
      <c r="J140" s="16" t="n">
        <f aca="false">IFERROR(INDEX('Shift Master'!$E$5:$E$16,MATCH(G140,'Shift Master'!$A$5:$A$16,0)),"")</f>
        <v>60</v>
      </c>
      <c r="K140" s="16" t="n">
        <f aca="false">IFERROR(INDEX('Shift Master'!$G$5:$G$16,MATCH(G140,'Shift Master'!$A$5:$A$16,0)),0)</f>
        <v>8</v>
      </c>
      <c r="L140" s="16" t="s">
        <v>228</v>
      </c>
      <c r="M140" s="16" t="s">
        <v>229</v>
      </c>
      <c r="N140" s="16" t="str">
        <f aca="false">IF(COUNTIFS('Staffing Coverage'!$A$5:$A$12,E140,'Staffing Coverage'!$B$5:$B$12,G140)=0,"",IF(COUNTIFS($A$5:$A$10004,A140,$E$5:$E$10004,E140,$G$5:$G$10004,G140)&lt;INDEX('Staffing Coverage'!$C$5:$C$12,MATCH(1,('Staffing Coverage'!$A$5:$A$12=E140)*('Staffing Coverage'!$B$5:$B$12=G140),0)),"SHORT","OK"))</f>
        <v/>
      </c>
    </row>
    <row r="141" customFormat="false" ht="15" hidden="false" customHeight="false" outlineLevel="0" collapsed="false">
      <c r="A141" s="15" t="n">
        <v>46302</v>
      </c>
      <c r="B141" s="16" t="str">
        <f aca="false">TEXT(A141,"ddd")</f>
        <v>Wed</v>
      </c>
      <c r="C141" s="10" t="s">
        <v>204</v>
      </c>
      <c r="D141" s="16" t="str">
        <f aca="false">IFERROR(INDEX('Staff Master'!$B$5:$B$24,MATCH(C141,'Staff Master'!$A$5:$A$24,0)),"")</f>
        <v>Josephine Cruz</v>
      </c>
      <c r="E141" s="16" t="str">
        <f aca="false">IFERROR(INDEX('Staff Master'!$D$5:$D$24,MATCH(C141,'Staff Master'!$A$5:$A$24,0)),"")</f>
        <v>CSSD</v>
      </c>
      <c r="F141" s="16" t="str">
        <f aca="false">IFERROR(INDEX('Staff Master'!$E$5:$E$24,MATCH(C141,'Staff Master'!$A$5:$A$24,0)),"")</f>
        <v>CSSD Technician</v>
      </c>
      <c r="G141" s="10" t="s">
        <v>87</v>
      </c>
      <c r="H141" s="17" t="n">
        <f aca="false">IFERROR(INDEX('Shift Master'!$C$5:$C$16,MATCH(G141,'Shift Master'!$A$5:$A$16,0)),"")</f>
        <v>0.333333333333333</v>
      </c>
      <c r="I141" s="17" t="n">
        <f aca="false">IFERROR(INDEX('Shift Master'!$D$5:$D$16,MATCH(G141,'Shift Master'!$A$5:$A$16,0)),"")</f>
        <v>0.708333333333333</v>
      </c>
      <c r="J141" s="16" t="n">
        <f aca="false">IFERROR(INDEX('Shift Master'!$E$5:$E$16,MATCH(G141,'Shift Master'!$A$5:$A$16,0)),"")</f>
        <v>60</v>
      </c>
      <c r="K141" s="16" t="n">
        <f aca="false">IFERROR(INDEX('Shift Master'!$G$5:$G$16,MATCH(G141,'Shift Master'!$A$5:$A$16,0)),0)</f>
        <v>8</v>
      </c>
      <c r="L141" s="16" t="s">
        <v>228</v>
      </c>
      <c r="M141" s="16" t="s">
        <v>229</v>
      </c>
      <c r="N141" s="16" t="str">
        <f aca="false">IF(COUNTIFS('Staffing Coverage'!$A$5:$A$12,E141,'Staffing Coverage'!$B$5:$B$12,G141)=0,"",IF(COUNTIFS($A$5:$A$10004,A141,$E$5:$E$10004,E141,$G$5:$G$10004,G141)&lt;INDEX('Staffing Coverage'!$C$5:$C$12,MATCH(1,('Staffing Coverage'!$A$5:$A$12=E141)*('Staffing Coverage'!$B$5:$B$12=G141),0)),"SHORT","OK"))</f>
        <v>OK</v>
      </c>
    </row>
    <row r="142" customFormat="false" ht="15" hidden="false" customHeight="false" outlineLevel="0" collapsed="false">
      <c r="A142" s="15" t="n">
        <v>46302</v>
      </c>
      <c r="B142" s="16" t="str">
        <f aca="false">TEXT(A142,"ddd")</f>
        <v>Wed</v>
      </c>
      <c r="C142" s="10" t="s">
        <v>208</v>
      </c>
      <c r="D142" s="16" t="str">
        <f aca="false">IFERROR(INDEX('Staff Master'!$B$5:$B$24,MATCH(C142,'Staff Master'!$A$5:$A$24,0)),"")</f>
        <v>Rosalyn Tan</v>
      </c>
      <c r="E142" s="16" t="str">
        <f aca="false">IFERROR(INDEX('Staff Master'!$D$5:$D$24,MATCH(C142,'Staff Master'!$A$5:$A$24,0)),"")</f>
        <v>Cleaning</v>
      </c>
      <c r="F142" s="16" t="str">
        <f aca="false">IFERROR(INDEX('Staff Master'!$E$5:$E$24,MATCH(C142,'Staff Master'!$A$5:$A$24,0)),"")</f>
        <v>Cleaner</v>
      </c>
      <c r="G142" s="10" t="s">
        <v>87</v>
      </c>
      <c r="H142" s="17" t="n">
        <f aca="false">IFERROR(INDEX('Shift Master'!$C$5:$C$16,MATCH(G142,'Shift Master'!$A$5:$A$16,0)),"")</f>
        <v>0.333333333333333</v>
      </c>
      <c r="I142" s="17" t="n">
        <f aca="false">IFERROR(INDEX('Shift Master'!$D$5:$D$16,MATCH(G142,'Shift Master'!$A$5:$A$16,0)),"")</f>
        <v>0.708333333333333</v>
      </c>
      <c r="J142" s="16" t="n">
        <f aca="false">IFERROR(INDEX('Shift Master'!$E$5:$E$16,MATCH(G142,'Shift Master'!$A$5:$A$16,0)),"")</f>
        <v>60</v>
      </c>
      <c r="K142" s="16" t="n">
        <f aca="false">IFERROR(INDEX('Shift Master'!$G$5:$G$16,MATCH(G142,'Shift Master'!$A$5:$A$16,0)),0)</f>
        <v>8</v>
      </c>
      <c r="L142" s="16" t="s">
        <v>228</v>
      </c>
      <c r="M142" s="16" t="s">
        <v>229</v>
      </c>
      <c r="N142" s="16" t="str">
        <f aca="false">IF(COUNTIFS('Staffing Coverage'!$A$5:$A$12,E142,'Staffing Coverage'!$B$5:$B$12,G142)=0,"",IF(COUNTIFS($A$5:$A$10004,A142,$E$5:$E$10004,E142,$G$5:$G$10004,G142)&lt;INDEX('Staffing Coverage'!$C$5:$C$12,MATCH(1,('Staffing Coverage'!$A$5:$A$12=E142)*('Staffing Coverage'!$B$5:$B$12=G142),0)),"SHORT","OK"))</f>
        <v>OK</v>
      </c>
    </row>
    <row r="143" customFormat="false" ht="15" hidden="false" customHeight="false" outlineLevel="0" collapsed="false">
      <c r="A143" s="15" t="n">
        <v>46302</v>
      </c>
      <c r="B143" s="16" t="str">
        <f aca="false">TEXT(A143,"ddd")</f>
        <v>Wed</v>
      </c>
      <c r="C143" s="10" t="s">
        <v>212</v>
      </c>
      <c r="D143" s="16" t="str">
        <f aca="false">IFERROR(INDEX('Staff Master'!$B$5:$B$24,MATCH(C143,'Staff Master'!$A$5:$A$24,0)),"")</f>
        <v>Hassan Baig</v>
      </c>
      <c r="E143" s="16" t="str">
        <f aca="false">IFERROR(INDEX('Staff Master'!$D$5:$D$24,MATCH(C143,'Staff Master'!$A$5:$A$24,0)),"")</f>
        <v>Facilities</v>
      </c>
      <c r="F143" s="16" t="str">
        <f aca="false">IFERROR(INDEX('Staff Master'!$E$5:$E$24,MATCH(C143,'Staff Master'!$A$5:$A$24,0)),"")</f>
        <v>Facility Manager</v>
      </c>
      <c r="G143" s="10" t="s">
        <v>90</v>
      </c>
      <c r="H143" s="17" t="n">
        <f aca="false">IFERROR(INDEX('Shift Master'!$C$5:$C$16,MATCH(G143,'Shift Master'!$A$5:$A$16,0)),"")</f>
        <v>0.375</v>
      </c>
      <c r="I143" s="17" t="n">
        <f aca="false">IFERROR(INDEX('Shift Master'!$D$5:$D$16,MATCH(G143,'Shift Master'!$A$5:$A$16,0)),"")</f>
        <v>0.75</v>
      </c>
      <c r="J143" s="16" t="n">
        <f aca="false">IFERROR(INDEX('Shift Master'!$E$5:$E$16,MATCH(G143,'Shift Master'!$A$5:$A$16,0)),"")</f>
        <v>60</v>
      </c>
      <c r="K143" s="16" t="n">
        <f aca="false">IFERROR(INDEX('Shift Master'!$G$5:$G$16,MATCH(G143,'Shift Master'!$A$5:$A$16,0)),0)</f>
        <v>8</v>
      </c>
      <c r="L143" s="16" t="s">
        <v>228</v>
      </c>
      <c r="M143" s="16" t="s">
        <v>229</v>
      </c>
      <c r="N143" s="16" t="str">
        <f aca="false">IF(COUNTIFS('Staffing Coverage'!$A$5:$A$12,E143,'Staffing Coverage'!$B$5:$B$12,G143)=0,"",IF(COUNTIFS($A$5:$A$10004,A143,$E$5:$E$10004,E143,$G$5:$G$10004,G143)&lt;INDEX('Staffing Coverage'!$C$5:$C$12,MATCH(1,('Staffing Coverage'!$A$5:$A$12=E143)*('Staffing Coverage'!$B$5:$B$12=G143),0)),"SHORT","OK"))</f>
        <v/>
      </c>
    </row>
    <row r="144" customFormat="false" ht="15" hidden="false" customHeight="false" outlineLevel="0" collapsed="false">
      <c r="A144" s="15" t="n">
        <v>46302</v>
      </c>
      <c r="B144" s="16" t="str">
        <f aca="false">TEXT(A144,"ddd")</f>
        <v>Wed</v>
      </c>
      <c r="C144" s="10" t="s">
        <v>178</v>
      </c>
      <c r="D144" s="16" t="str">
        <f aca="false">IFERROR(INDEX('Staff Master'!$B$5:$B$24,MATCH(C144,'Staff Master'!$A$5:$A$24,0)),"")</f>
        <v>Meera Pillai</v>
      </c>
      <c r="E144" s="16" t="str">
        <f aca="false">IFERROR(INDEX('Staff Master'!$D$5:$D$24,MATCH(C144,'Staff Master'!$A$5:$A$24,0)),"")</f>
        <v>HR</v>
      </c>
      <c r="F144" s="16" t="str">
        <f aca="false">IFERROR(INDEX('Staff Master'!$E$5:$E$24,MATCH(C144,'Staff Master'!$A$5:$A$24,0)),"")</f>
        <v>HR Executive</v>
      </c>
      <c r="G144" s="10" t="s">
        <v>90</v>
      </c>
      <c r="H144" s="17" t="n">
        <f aca="false">IFERROR(INDEX('Shift Master'!$C$5:$C$16,MATCH(G144,'Shift Master'!$A$5:$A$16,0)),"")</f>
        <v>0.375</v>
      </c>
      <c r="I144" s="17" t="n">
        <f aca="false">IFERROR(INDEX('Shift Master'!$D$5:$D$16,MATCH(G144,'Shift Master'!$A$5:$A$16,0)),"")</f>
        <v>0.75</v>
      </c>
      <c r="J144" s="16" t="n">
        <f aca="false">IFERROR(INDEX('Shift Master'!$E$5:$E$16,MATCH(G144,'Shift Master'!$A$5:$A$16,0)),"")</f>
        <v>60</v>
      </c>
      <c r="K144" s="16" t="n">
        <f aca="false">IFERROR(INDEX('Shift Master'!$G$5:$G$16,MATCH(G144,'Shift Master'!$A$5:$A$16,0)),0)</f>
        <v>8</v>
      </c>
      <c r="L144" s="16" t="s">
        <v>228</v>
      </c>
      <c r="M144" s="16" t="s">
        <v>229</v>
      </c>
      <c r="N144" s="16" t="str">
        <f aca="false">IF(COUNTIFS('Staffing Coverage'!$A$5:$A$12,E144,'Staffing Coverage'!$B$5:$B$12,G144)=0,"",IF(COUNTIFS($A$5:$A$10004,A144,$E$5:$E$10004,E144,$G$5:$G$10004,G144)&lt;INDEX('Staffing Coverage'!$C$5:$C$12,MATCH(1,('Staffing Coverage'!$A$5:$A$12=E144)*('Staffing Coverage'!$B$5:$B$12=G144),0)),"SHORT","OK"))</f>
        <v/>
      </c>
    </row>
    <row r="145" customFormat="false" ht="15" hidden="false" customHeight="false" outlineLevel="0" collapsed="false">
      <c r="A145" s="15" t="n">
        <v>46303</v>
      </c>
      <c r="B145" s="16" t="str">
        <f aca="false">TEXT(A145,"ddd")</f>
        <v>Thu</v>
      </c>
      <c r="C145" s="10" t="s">
        <v>128</v>
      </c>
      <c r="D145" s="16" t="str">
        <f aca="false">IFERROR(INDEX('Staff Master'!$B$5:$B$24,MATCH(C145,'Staff Master'!$A$5:$A$24,0)),"")</f>
        <v>Rashid Al Nuaimi</v>
      </c>
      <c r="E145" s="16" t="str">
        <f aca="false">IFERROR(INDEX('Staff Master'!$D$5:$D$24,MATCH(C145,'Staff Master'!$A$5:$A$24,0)),"")</f>
        <v>Management</v>
      </c>
      <c r="F145" s="16" t="str">
        <f aca="false">IFERROR(INDEX('Staff Master'!$E$5:$E$24,MATCH(C145,'Staff Master'!$A$5:$A$24,0)),"")</f>
        <v>CEO</v>
      </c>
      <c r="G145" s="10" t="s">
        <v>90</v>
      </c>
      <c r="H145" s="17" t="n">
        <f aca="false">IFERROR(INDEX('Shift Master'!$C$5:$C$16,MATCH(G145,'Shift Master'!$A$5:$A$16,0)),"")</f>
        <v>0.375</v>
      </c>
      <c r="I145" s="17" t="n">
        <f aca="false">IFERROR(INDEX('Shift Master'!$D$5:$D$16,MATCH(G145,'Shift Master'!$A$5:$A$16,0)),"")</f>
        <v>0.75</v>
      </c>
      <c r="J145" s="16" t="n">
        <f aca="false">IFERROR(INDEX('Shift Master'!$E$5:$E$16,MATCH(G145,'Shift Master'!$A$5:$A$16,0)),"")</f>
        <v>60</v>
      </c>
      <c r="K145" s="16" t="n">
        <f aca="false">IFERROR(INDEX('Shift Master'!$G$5:$G$16,MATCH(G145,'Shift Master'!$A$5:$A$16,0)),0)</f>
        <v>8</v>
      </c>
      <c r="L145" s="16" t="s">
        <v>228</v>
      </c>
      <c r="M145" s="16" t="s">
        <v>229</v>
      </c>
      <c r="N145" s="16" t="str">
        <f aca="false">IF(COUNTIFS('Staffing Coverage'!$A$5:$A$12,E145,'Staffing Coverage'!$B$5:$B$12,G145)=0,"",IF(COUNTIFS($A$5:$A$10004,A145,$E$5:$E$10004,E145,$G$5:$G$10004,G145)&lt;INDEX('Staffing Coverage'!$C$5:$C$12,MATCH(1,('Staffing Coverage'!$A$5:$A$12=E145)*('Staffing Coverage'!$B$5:$B$12=G145),0)),"SHORT","OK"))</f>
        <v/>
      </c>
    </row>
    <row r="146" customFormat="false" ht="15" hidden="false" customHeight="false" outlineLevel="0" collapsed="false">
      <c r="A146" s="15" t="n">
        <v>46303</v>
      </c>
      <c r="B146" s="16" t="str">
        <f aca="false">TEXT(A146,"ddd")</f>
        <v>Thu</v>
      </c>
      <c r="C146" s="10" t="s">
        <v>137</v>
      </c>
      <c r="D146" s="16" t="str">
        <f aca="false">IFERROR(INDEX('Staff Master'!$B$5:$B$24,MATCH(C146,'Staff Master'!$A$5:$A$24,0)),"")</f>
        <v>Dr. Sara Haddad</v>
      </c>
      <c r="E146" s="16" t="str">
        <f aca="false">IFERROR(INDEX('Staff Master'!$D$5:$D$24,MATCH(C146,'Staff Master'!$A$5:$A$24,0)),"")</f>
        <v>General Practice</v>
      </c>
      <c r="F146" s="16" t="str">
        <f aca="false">IFERROR(INDEX('Staff Master'!$E$5:$E$24,MATCH(C146,'Staff Master'!$A$5:$A$24,0)),"")</f>
        <v>Medical Director</v>
      </c>
      <c r="G146" s="10" t="s">
        <v>96</v>
      </c>
      <c r="H146" s="17" t="n">
        <f aca="false">IFERROR(INDEX('Shift Master'!$C$5:$C$16,MATCH(G146,'Shift Master'!$A$5:$A$16,0)),"")</f>
        <v>0.375</v>
      </c>
      <c r="I146" s="17" t="n">
        <f aca="false">IFERROR(INDEX('Shift Master'!$D$5:$D$16,MATCH(G146,'Shift Master'!$A$5:$A$16,0)),"")</f>
        <v>0.708333333333333</v>
      </c>
      <c r="J146" s="16" t="n">
        <f aca="false">IFERROR(INDEX('Shift Master'!$E$5:$E$16,MATCH(G146,'Shift Master'!$A$5:$A$16,0)),"")</f>
        <v>60</v>
      </c>
      <c r="K146" s="16" t="n">
        <f aca="false">IFERROR(INDEX('Shift Master'!$G$5:$G$16,MATCH(G146,'Shift Master'!$A$5:$A$16,0)),0)</f>
        <v>7</v>
      </c>
      <c r="L146" s="16" t="s">
        <v>228</v>
      </c>
      <c r="M146" s="16" t="s">
        <v>229</v>
      </c>
      <c r="N146" s="16" t="str">
        <f aca="false">IF(COUNTIFS('Staffing Coverage'!$A$5:$A$12,E146,'Staffing Coverage'!$B$5:$B$12,G146)=0,"",IF(COUNTIFS($A$5:$A$10004,A146,$E$5:$E$10004,E146,$G$5:$G$10004,G146)&lt;INDEX('Staffing Coverage'!$C$5:$C$12,MATCH(1,('Staffing Coverage'!$A$5:$A$12=E146)*('Staffing Coverage'!$B$5:$B$12=G146),0)),"SHORT","OK"))</f>
        <v/>
      </c>
    </row>
    <row r="147" customFormat="false" ht="15" hidden="false" customHeight="false" outlineLevel="0" collapsed="false">
      <c r="A147" s="15" t="n">
        <v>46303</v>
      </c>
      <c r="B147" s="16" t="str">
        <f aca="false">TEXT(A147,"ddd")</f>
        <v>Thu</v>
      </c>
      <c r="C147" s="10" t="s">
        <v>142</v>
      </c>
      <c r="D147" s="16" t="str">
        <f aca="false">IFERROR(INDEX('Staff Master'!$B$5:$B$24,MATCH(C147,'Staff Master'!$A$5:$A$24,0)),"")</f>
        <v>Dr. Omar Khalil</v>
      </c>
      <c r="E147" s="16" t="str">
        <f aca="false">IFERROR(INDEX('Staff Master'!$D$5:$D$24,MATCH(C147,'Staff Master'!$A$5:$A$24,0)),"")</f>
        <v>General Practice</v>
      </c>
      <c r="F147" s="16" t="str">
        <f aca="false">IFERROR(INDEX('Staff Master'!$E$5:$E$24,MATCH(C147,'Staff Master'!$A$5:$A$24,0)),"")</f>
        <v>Doctor</v>
      </c>
      <c r="G147" s="10" t="s">
        <v>96</v>
      </c>
      <c r="H147" s="17" t="n">
        <f aca="false">IFERROR(INDEX('Shift Master'!$C$5:$C$16,MATCH(G147,'Shift Master'!$A$5:$A$16,0)),"")</f>
        <v>0.375</v>
      </c>
      <c r="I147" s="17" t="n">
        <f aca="false">IFERROR(INDEX('Shift Master'!$D$5:$D$16,MATCH(G147,'Shift Master'!$A$5:$A$16,0)),"")</f>
        <v>0.708333333333333</v>
      </c>
      <c r="J147" s="16" t="n">
        <f aca="false">IFERROR(INDEX('Shift Master'!$E$5:$E$16,MATCH(G147,'Shift Master'!$A$5:$A$16,0)),"")</f>
        <v>60</v>
      </c>
      <c r="K147" s="16" t="n">
        <f aca="false">IFERROR(INDEX('Shift Master'!$G$5:$G$16,MATCH(G147,'Shift Master'!$A$5:$A$16,0)),0)</f>
        <v>7</v>
      </c>
      <c r="L147" s="16" t="s">
        <v>228</v>
      </c>
      <c r="M147" s="16" t="s">
        <v>229</v>
      </c>
      <c r="N147" s="16" t="str">
        <f aca="false">IF(COUNTIFS('Staffing Coverage'!$A$5:$A$12,E147,'Staffing Coverage'!$B$5:$B$12,G147)=0,"",IF(COUNTIFS($A$5:$A$10004,A147,$E$5:$E$10004,E147,$G$5:$G$10004,G147)&lt;INDEX('Staffing Coverage'!$C$5:$C$12,MATCH(1,('Staffing Coverage'!$A$5:$A$12=E147)*('Staffing Coverage'!$B$5:$B$12=G147),0)),"SHORT","OK"))</f>
        <v/>
      </c>
    </row>
    <row r="148" customFormat="false" ht="15" hidden="false" customHeight="false" outlineLevel="0" collapsed="false">
      <c r="A148" s="15" t="n">
        <v>46303</v>
      </c>
      <c r="B148" s="16" t="str">
        <f aca="false">TEXT(A148,"ddd")</f>
        <v>Thu</v>
      </c>
      <c r="C148" s="10" t="s">
        <v>146</v>
      </c>
      <c r="D148" s="16" t="str">
        <f aca="false">IFERROR(INDEX('Staff Master'!$B$5:$B$24,MATCH(C148,'Staff Master'!$A$5:$A$24,0)),"")</f>
        <v>Dr. Lina Abboud</v>
      </c>
      <c r="E148" s="16" t="str">
        <f aca="false">IFERROR(INDEX('Staff Master'!$D$5:$D$24,MATCH(C148,'Staff Master'!$A$5:$A$24,0)),"")</f>
        <v>Dental</v>
      </c>
      <c r="F148" s="16" t="str">
        <f aca="false">IFERROR(INDEX('Staff Master'!$E$5:$E$24,MATCH(C148,'Staff Master'!$A$5:$A$24,0)),"")</f>
        <v>Dentist</v>
      </c>
      <c r="G148" s="10" t="s">
        <v>96</v>
      </c>
      <c r="H148" s="17" t="n">
        <f aca="false">IFERROR(INDEX('Shift Master'!$C$5:$C$16,MATCH(G148,'Shift Master'!$A$5:$A$16,0)),"")</f>
        <v>0.375</v>
      </c>
      <c r="I148" s="17" t="n">
        <f aca="false">IFERROR(INDEX('Shift Master'!$D$5:$D$16,MATCH(G148,'Shift Master'!$A$5:$A$16,0)),"")</f>
        <v>0.708333333333333</v>
      </c>
      <c r="J148" s="16" t="n">
        <f aca="false">IFERROR(INDEX('Shift Master'!$E$5:$E$16,MATCH(G148,'Shift Master'!$A$5:$A$16,0)),"")</f>
        <v>60</v>
      </c>
      <c r="K148" s="16" t="n">
        <f aca="false">IFERROR(INDEX('Shift Master'!$G$5:$G$16,MATCH(G148,'Shift Master'!$A$5:$A$16,0)),0)</f>
        <v>7</v>
      </c>
      <c r="L148" s="16" t="s">
        <v>228</v>
      </c>
      <c r="M148" s="16" t="s">
        <v>229</v>
      </c>
      <c r="N148" s="16" t="str">
        <f aca="false">IF(COUNTIFS('Staffing Coverage'!$A$5:$A$12,E148,'Staffing Coverage'!$B$5:$B$12,G148)=0,"",IF(COUNTIFS($A$5:$A$10004,A148,$E$5:$E$10004,E148,$G$5:$G$10004,G148)&lt;INDEX('Staffing Coverage'!$C$5:$C$12,MATCH(1,('Staffing Coverage'!$A$5:$A$12=E148)*('Staffing Coverage'!$B$5:$B$12=G148),0)),"SHORT","OK"))</f>
        <v/>
      </c>
    </row>
    <row r="149" customFormat="false" ht="15" hidden="false" customHeight="false" outlineLevel="0" collapsed="false">
      <c r="A149" s="15" t="n">
        <v>46303</v>
      </c>
      <c r="B149" s="16" t="str">
        <f aca="false">TEXT(A149,"ddd")</f>
        <v>Thu</v>
      </c>
      <c r="C149" s="10" t="s">
        <v>150</v>
      </c>
      <c r="D149" s="16" t="str">
        <f aca="false">IFERROR(INDEX('Staff Master'!$B$5:$B$24,MATCH(C149,'Staff Master'!$A$5:$A$24,0)),"")</f>
        <v>Dr. Farah Idris</v>
      </c>
      <c r="E149" s="16" t="str">
        <f aca="false">IFERROR(INDEX('Staff Master'!$D$5:$D$24,MATCH(C149,'Staff Master'!$A$5:$A$24,0)),"")</f>
        <v>Dental</v>
      </c>
      <c r="F149" s="16" t="str">
        <f aca="false">IFERROR(INDEX('Staff Master'!$E$5:$E$24,MATCH(C149,'Staff Master'!$A$5:$A$24,0)),"")</f>
        <v>Dentist</v>
      </c>
      <c r="G149" s="10" t="s">
        <v>96</v>
      </c>
      <c r="H149" s="17" t="n">
        <f aca="false">IFERROR(INDEX('Shift Master'!$C$5:$C$16,MATCH(G149,'Shift Master'!$A$5:$A$16,0)),"")</f>
        <v>0.375</v>
      </c>
      <c r="I149" s="17" t="n">
        <f aca="false">IFERROR(INDEX('Shift Master'!$D$5:$D$16,MATCH(G149,'Shift Master'!$A$5:$A$16,0)),"")</f>
        <v>0.708333333333333</v>
      </c>
      <c r="J149" s="16" t="n">
        <f aca="false">IFERROR(INDEX('Shift Master'!$E$5:$E$16,MATCH(G149,'Shift Master'!$A$5:$A$16,0)),"")</f>
        <v>60</v>
      </c>
      <c r="K149" s="16" t="n">
        <f aca="false">IFERROR(INDEX('Shift Master'!$G$5:$G$16,MATCH(G149,'Shift Master'!$A$5:$A$16,0)),0)</f>
        <v>7</v>
      </c>
      <c r="L149" s="16" t="s">
        <v>228</v>
      </c>
      <c r="M149" s="16" t="s">
        <v>229</v>
      </c>
      <c r="N149" s="16" t="str">
        <f aca="false">IF(COUNTIFS('Staffing Coverage'!$A$5:$A$12,E149,'Staffing Coverage'!$B$5:$B$12,G149)=0,"",IF(COUNTIFS($A$5:$A$10004,A149,$E$5:$E$10004,E149,$G$5:$G$10004,G149)&lt;INDEX('Staffing Coverage'!$C$5:$C$12,MATCH(1,('Staffing Coverage'!$A$5:$A$12=E149)*('Staffing Coverage'!$B$5:$B$12=G149),0)),"SHORT","OK"))</f>
        <v/>
      </c>
    </row>
    <row r="150" customFormat="false" ht="15" hidden="false" customHeight="false" outlineLevel="0" collapsed="false">
      <c r="A150" s="15" t="n">
        <v>46303</v>
      </c>
      <c r="B150" s="16" t="str">
        <f aca="false">TEXT(A150,"ddd")</f>
        <v>Thu</v>
      </c>
      <c r="C150" s="10" t="s">
        <v>157</v>
      </c>
      <c r="D150" s="16" t="str">
        <f aca="false">IFERROR(INDEX('Staff Master'!$B$5:$B$24,MATCH(C150,'Staff Master'!$A$5:$A$24,0)),"")</f>
        <v>Dr. Youssef Nassar</v>
      </c>
      <c r="E150" s="16" t="str">
        <f aca="false">IFERROR(INDEX('Staff Master'!$D$5:$D$24,MATCH(C150,'Staff Master'!$A$5:$A$24,0)),"")</f>
        <v>General Practice</v>
      </c>
      <c r="F150" s="16" t="str">
        <f aca="false">IFERROR(INDEX('Staff Master'!$E$5:$E$24,MATCH(C150,'Staff Master'!$A$5:$A$24,0)),"")</f>
        <v>General Practitioner</v>
      </c>
      <c r="G150" s="10" t="s">
        <v>96</v>
      </c>
      <c r="H150" s="17" t="n">
        <f aca="false">IFERROR(INDEX('Shift Master'!$C$5:$C$16,MATCH(G150,'Shift Master'!$A$5:$A$16,0)),"")</f>
        <v>0.375</v>
      </c>
      <c r="I150" s="17" t="n">
        <f aca="false">IFERROR(INDEX('Shift Master'!$D$5:$D$16,MATCH(G150,'Shift Master'!$A$5:$A$16,0)),"")</f>
        <v>0.708333333333333</v>
      </c>
      <c r="J150" s="16" t="n">
        <f aca="false">IFERROR(INDEX('Shift Master'!$E$5:$E$16,MATCH(G150,'Shift Master'!$A$5:$A$16,0)),"")</f>
        <v>60</v>
      </c>
      <c r="K150" s="16" t="n">
        <f aca="false">IFERROR(INDEX('Shift Master'!$G$5:$G$16,MATCH(G150,'Shift Master'!$A$5:$A$16,0)),0)</f>
        <v>7</v>
      </c>
      <c r="L150" s="16" t="s">
        <v>228</v>
      </c>
      <c r="M150" s="16" t="s">
        <v>229</v>
      </c>
      <c r="N150" s="16" t="str">
        <f aca="false">IF(COUNTIFS('Staffing Coverage'!$A$5:$A$12,E150,'Staffing Coverage'!$B$5:$B$12,G150)=0,"",IF(COUNTIFS($A$5:$A$10004,A150,$E$5:$E$10004,E150,$G$5:$G$10004,G150)&lt;INDEX('Staffing Coverage'!$C$5:$C$12,MATCH(1,('Staffing Coverage'!$A$5:$A$12=E150)*('Staffing Coverage'!$B$5:$B$12=G150),0)),"SHORT","OK"))</f>
        <v/>
      </c>
    </row>
    <row r="151" customFormat="false" ht="15" hidden="false" customHeight="false" outlineLevel="0" collapsed="false">
      <c r="A151" s="15" t="n">
        <v>46303</v>
      </c>
      <c r="B151" s="16" t="str">
        <f aca="false">TEXT(A151,"ddd")</f>
        <v>Thu</v>
      </c>
      <c r="C151" s="10" t="s">
        <v>161</v>
      </c>
      <c r="D151" s="16" t="str">
        <f aca="false">IFERROR(INDEX('Staff Master'!$B$5:$B$24,MATCH(C151,'Staff Master'!$A$5:$A$24,0)),"")</f>
        <v>Grace Fernandez</v>
      </c>
      <c r="E151" s="16" t="str">
        <f aca="false">IFERROR(INDEX('Staff Master'!$D$5:$D$24,MATCH(C151,'Staff Master'!$A$5:$A$24,0)),"")</f>
        <v>Nursing</v>
      </c>
      <c r="F151" s="16" t="str">
        <f aca="false">IFERROR(INDEX('Staff Master'!$E$5:$E$24,MATCH(C151,'Staff Master'!$A$5:$A$24,0)),"")</f>
        <v>Nurse</v>
      </c>
      <c r="G151" s="10" t="s">
        <v>87</v>
      </c>
      <c r="H151" s="17" t="n">
        <f aca="false">IFERROR(INDEX('Shift Master'!$C$5:$C$16,MATCH(G151,'Shift Master'!$A$5:$A$16,0)),"")</f>
        <v>0.333333333333333</v>
      </c>
      <c r="I151" s="17" t="n">
        <f aca="false">IFERROR(INDEX('Shift Master'!$D$5:$D$16,MATCH(G151,'Shift Master'!$A$5:$A$16,0)),"")</f>
        <v>0.708333333333333</v>
      </c>
      <c r="J151" s="16" t="n">
        <f aca="false">IFERROR(INDEX('Shift Master'!$E$5:$E$16,MATCH(G151,'Shift Master'!$A$5:$A$16,0)),"")</f>
        <v>60</v>
      </c>
      <c r="K151" s="16" t="n">
        <f aca="false">IFERROR(INDEX('Shift Master'!$G$5:$G$16,MATCH(G151,'Shift Master'!$A$5:$A$16,0)),0)</f>
        <v>8</v>
      </c>
      <c r="L151" s="16" t="s">
        <v>228</v>
      </c>
      <c r="M151" s="16" t="s">
        <v>229</v>
      </c>
      <c r="N151" s="16" t="str">
        <f aca="false">IF(COUNTIFS('Staffing Coverage'!$A$5:$A$12,E151,'Staffing Coverage'!$B$5:$B$12,G151)=0,"",IF(COUNTIFS($A$5:$A$10004,A151,$E$5:$E$10004,E151,$G$5:$G$10004,G151)&lt;INDEX('Staffing Coverage'!$C$5:$C$12,MATCH(1,('Staffing Coverage'!$A$5:$A$12=E151)*('Staffing Coverage'!$B$5:$B$12=G151),0)),"SHORT","OK"))</f>
        <v>OK</v>
      </c>
    </row>
    <row r="152" customFormat="false" ht="15" hidden="false" customHeight="false" outlineLevel="0" collapsed="false">
      <c r="A152" s="15" t="n">
        <v>46303</v>
      </c>
      <c r="B152" s="16" t="str">
        <f aca="false">TEXT(A152,"ddd")</f>
        <v>Thu</v>
      </c>
      <c r="C152" s="10" t="s">
        <v>165</v>
      </c>
      <c r="D152" s="16" t="str">
        <f aca="false">IFERROR(INDEX('Staff Master'!$B$5:$B$24,MATCH(C152,'Staff Master'!$A$5:$A$24,0)),"")</f>
        <v>Priya Nair</v>
      </c>
      <c r="E152" s="16" t="str">
        <f aca="false">IFERROR(INDEX('Staff Master'!$D$5:$D$24,MATCH(C152,'Staff Master'!$A$5:$A$24,0)),"")</f>
        <v>Nursing</v>
      </c>
      <c r="F152" s="16" t="str">
        <f aca="false">IFERROR(INDEX('Staff Master'!$E$5:$E$24,MATCH(C152,'Staff Master'!$A$5:$A$24,0)),"")</f>
        <v>Nurse</v>
      </c>
      <c r="G152" s="10" t="s">
        <v>100</v>
      </c>
      <c r="H152" s="17" t="n">
        <f aca="false">IFERROR(INDEX('Shift Master'!$C$5:$C$16,MATCH(G152,'Shift Master'!$A$5:$A$16,0)),"")</f>
        <v>0</v>
      </c>
      <c r="I152" s="17" t="n">
        <f aca="false">IFERROR(INDEX('Shift Master'!$D$5:$D$16,MATCH(G152,'Shift Master'!$A$5:$A$16,0)),"")</f>
        <v>0</v>
      </c>
      <c r="J152" s="16" t="n">
        <f aca="false">IFERROR(INDEX('Shift Master'!$E$5:$E$16,MATCH(G152,'Shift Master'!$A$5:$A$16,0)),"")</f>
        <v>0</v>
      </c>
      <c r="K152" s="16" t="n">
        <f aca="false">IFERROR(INDEX('Shift Master'!$G$5:$G$16,MATCH(G152,'Shift Master'!$A$5:$A$16,0)),0)</f>
        <v>0</v>
      </c>
      <c r="L152" s="16" t="s">
        <v>228</v>
      </c>
      <c r="M152" s="16" t="s">
        <v>229</v>
      </c>
      <c r="N152" s="16" t="str">
        <f aca="false">IF(COUNTIFS('Staffing Coverage'!$A$5:$A$12,E152,'Staffing Coverage'!$B$5:$B$12,G152)=0,"",IF(COUNTIFS($A$5:$A$10004,A152,$E$5:$E$10004,E152,$G$5:$G$10004,G152)&lt;INDEX('Staffing Coverage'!$C$5:$C$12,MATCH(1,('Staffing Coverage'!$A$5:$A$12=E152)*('Staffing Coverage'!$B$5:$B$12=G152),0)),"SHORT","OK"))</f>
        <v/>
      </c>
    </row>
    <row r="153" customFormat="false" ht="15" hidden="false" customHeight="false" outlineLevel="0" collapsed="false">
      <c r="A153" s="15" t="n">
        <v>46303</v>
      </c>
      <c r="B153" s="16" t="str">
        <f aca="false">TEXT(A153,"ddd")</f>
        <v>Thu</v>
      </c>
      <c r="C153" s="10" t="s">
        <v>170</v>
      </c>
      <c r="D153" s="16" t="str">
        <f aca="false">IFERROR(INDEX('Staff Master'!$B$5:$B$24,MATCH(C153,'Staff Master'!$A$5:$A$24,0)),"")</f>
        <v>Maria Santos</v>
      </c>
      <c r="E153" s="16" t="str">
        <f aca="false">IFERROR(INDEX('Staff Master'!$D$5:$D$24,MATCH(C153,'Staff Master'!$A$5:$A$24,0)),"")</f>
        <v>Nursing</v>
      </c>
      <c r="F153" s="16" t="str">
        <f aca="false">IFERROR(INDEX('Staff Master'!$E$5:$E$24,MATCH(C153,'Staff Master'!$A$5:$A$24,0)),"")</f>
        <v>Nurse</v>
      </c>
      <c r="G153" s="10" t="s">
        <v>94</v>
      </c>
      <c r="H153" s="17" t="n">
        <f aca="false">IFERROR(INDEX('Shift Master'!$C$5:$C$16,MATCH(G153,'Shift Master'!$A$5:$A$16,0)),"")</f>
        <v>0.541666666666667</v>
      </c>
      <c r="I153" s="17" t="n">
        <f aca="false">IFERROR(INDEX('Shift Master'!$D$5:$D$16,MATCH(G153,'Shift Master'!$A$5:$A$16,0)),"")</f>
        <v>0.916666666666667</v>
      </c>
      <c r="J153" s="16" t="n">
        <f aca="false">IFERROR(INDEX('Shift Master'!$E$5:$E$16,MATCH(G153,'Shift Master'!$A$5:$A$16,0)),"")</f>
        <v>60</v>
      </c>
      <c r="K153" s="16" t="n">
        <f aca="false">IFERROR(INDEX('Shift Master'!$G$5:$G$16,MATCH(G153,'Shift Master'!$A$5:$A$16,0)),0)</f>
        <v>8</v>
      </c>
      <c r="L153" s="16" t="s">
        <v>228</v>
      </c>
      <c r="M153" s="16" t="s">
        <v>229</v>
      </c>
      <c r="N153" s="16" t="str">
        <f aca="false">IF(COUNTIFS('Staffing Coverage'!$A$5:$A$12,E153,'Staffing Coverage'!$B$5:$B$12,G153)=0,"",IF(COUNTIFS($A$5:$A$10004,A153,$E$5:$E$10004,E153,$G$5:$G$10004,G153)&lt;INDEX('Staffing Coverage'!$C$5:$C$12,MATCH(1,('Staffing Coverage'!$A$5:$A$12=E153)*('Staffing Coverage'!$B$5:$B$12=G153),0)),"SHORT","OK"))</f>
        <v/>
      </c>
    </row>
    <row r="154" customFormat="false" ht="15" hidden="false" customHeight="false" outlineLevel="0" collapsed="false">
      <c r="A154" s="15" t="n">
        <v>46303</v>
      </c>
      <c r="B154" s="16" t="str">
        <f aca="false">TEXT(A154,"ddd")</f>
        <v>Thu</v>
      </c>
      <c r="C154" s="10" t="s">
        <v>174</v>
      </c>
      <c r="D154" s="16" t="str">
        <f aca="false">IFERROR(INDEX('Staff Master'!$B$5:$B$24,MATCH(C154,'Staff Master'!$A$5:$A$24,0)),"")</f>
        <v>Aisha Al Shamsi</v>
      </c>
      <c r="E154" s="16" t="str">
        <f aca="false">IFERROR(INDEX('Staff Master'!$D$5:$D$24,MATCH(C154,'Staff Master'!$A$5:$A$24,0)),"")</f>
        <v>Reception</v>
      </c>
      <c r="F154" s="16" t="str">
        <f aca="false">IFERROR(INDEX('Staff Master'!$E$5:$E$24,MATCH(C154,'Staff Master'!$A$5:$A$24,0)),"")</f>
        <v>Receptionist</v>
      </c>
      <c r="G154" s="10" t="s">
        <v>87</v>
      </c>
      <c r="H154" s="17" t="n">
        <f aca="false">IFERROR(INDEX('Shift Master'!$C$5:$C$16,MATCH(G154,'Shift Master'!$A$5:$A$16,0)),"")</f>
        <v>0.333333333333333</v>
      </c>
      <c r="I154" s="17" t="n">
        <f aca="false">IFERROR(INDEX('Shift Master'!$D$5:$D$16,MATCH(G154,'Shift Master'!$A$5:$A$16,0)),"")</f>
        <v>0.708333333333333</v>
      </c>
      <c r="J154" s="16" t="n">
        <f aca="false">IFERROR(INDEX('Shift Master'!$E$5:$E$16,MATCH(G154,'Shift Master'!$A$5:$A$16,0)),"")</f>
        <v>60</v>
      </c>
      <c r="K154" s="16" t="n">
        <f aca="false">IFERROR(INDEX('Shift Master'!$G$5:$G$16,MATCH(G154,'Shift Master'!$A$5:$A$16,0)),0)</f>
        <v>8</v>
      </c>
      <c r="L154" s="16" t="s">
        <v>228</v>
      </c>
      <c r="M154" s="16" t="s">
        <v>229</v>
      </c>
      <c r="N154" s="16" t="str">
        <f aca="false">IF(COUNTIFS('Staffing Coverage'!$A$5:$A$12,E154,'Staffing Coverage'!$B$5:$B$12,G154)=0,"",IF(COUNTIFS($A$5:$A$10004,A154,$E$5:$E$10004,E154,$G$5:$G$10004,G154)&lt;INDEX('Staffing Coverage'!$C$5:$C$12,MATCH(1,('Staffing Coverage'!$A$5:$A$12=E154)*('Staffing Coverage'!$B$5:$B$12=G154),0)),"SHORT","OK"))</f>
        <v>SHORT</v>
      </c>
    </row>
    <row r="155" customFormat="false" ht="15" hidden="false" customHeight="false" outlineLevel="0" collapsed="false">
      <c r="A155" s="15" t="n">
        <v>46303</v>
      </c>
      <c r="B155" s="16" t="str">
        <f aca="false">TEXT(A155,"ddd")</f>
        <v>Thu</v>
      </c>
      <c r="C155" s="10" t="s">
        <v>179</v>
      </c>
      <c r="D155" s="16" t="str">
        <f aca="false">IFERROR(INDEX('Staff Master'!$B$5:$B$24,MATCH(C155,'Staff Master'!$A$5:$A$24,0)),"")</f>
        <v>John Dsouza</v>
      </c>
      <c r="E155" s="16" t="str">
        <f aca="false">IFERROR(INDEX('Staff Master'!$D$5:$D$24,MATCH(C155,'Staff Master'!$A$5:$A$24,0)),"")</f>
        <v>Reception</v>
      </c>
      <c r="F155" s="16" t="str">
        <f aca="false">IFERROR(INDEX('Staff Master'!$E$5:$E$24,MATCH(C155,'Staff Master'!$A$5:$A$24,0)),"")</f>
        <v>Receptionist</v>
      </c>
      <c r="G155" s="10" t="s">
        <v>90</v>
      </c>
      <c r="H155" s="17" t="n">
        <f aca="false">IFERROR(INDEX('Shift Master'!$C$5:$C$16,MATCH(G155,'Shift Master'!$A$5:$A$16,0)),"")</f>
        <v>0.375</v>
      </c>
      <c r="I155" s="17" t="n">
        <f aca="false">IFERROR(INDEX('Shift Master'!$D$5:$D$16,MATCH(G155,'Shift Master'!$A$5:$A$16,0)),"")</f>
        <v>0.75</v>
      </c>
      <c r="J155" s="16" t="n">
        <f aca="false">IFERROR(INDEX('Shift Master'!$E$5:$E$16,MATCH(G155,'Shift Master'!$A$5:$A$16,0)),"")</f>
        <v>60</v>
      </c>
      <c r="K155" s="16" t="n">
        <f aca="false">IFERROR(INDEX('Shift Master'!$G$5:$G$16,MATCH(G155,'Shift Master'!$A$5:$A$16,0)),0)</f>
        <v>8</v>
      </c>
      <c r="L155" s="16" t="s">
        <v>228</v>
      </c>
      <c r="M155" s="16" t="s">
        <v>229</v>
      </c>
      <c r="N155" s="16" t="str">
        <f aca="false">IF(COUNTIFS('Staffing Coverage'!$A$5:$A$12,E155,'Staffing Coverage'!$B$5:$B$12,G155)=0,"",IF(COUNTIFS($A$5:$A$10004,A155,$E$5:$E$10004,E155,$G$5:$G$10004,G155)&lt;INDEX('Staffing Coverage'!$C$5:$C$12,MATCH(1,('Staffing Coverage'!$A$5:$A$12=E155)*('Staffing Coverage'!$B$5:$B$12=G155),0)),"SHORT","OK"))</f>
        <v>SHORT</v>
      </c>
    </row>
    <row r="156" customFormat="false" ht="15" hidden="false" customHeight="false" outlineLevel="0" collapsed="false">
      <c r="A156" s="15" t="n">
        <v>46303</v>
      </c>
      <c r="B156" s="16" t="str">
        <f aca="false">TEXT(A156,"ddd")</f>
        <v>Thu</v>
      </c>
      <c r="C156" s="10" t="s">
        <v>184</v>
      </c>
      <c r="D156" s="16" t="str">
        <f aca="false">IFERROR(INDEX('Staff Master'!$B$5:$B$24,MATCH(C156,'Staff Master'!$A$5:$A$24,0)),"")</f>
        <v>Fatima Zahra</v>
      </c>
      <c r="E156" s="16" t="str">
        <f aca="false">IFERROR(INDEX('Staff Master'!$D$5:$D$24,MATCH(C156,'Staff Master'!$A$5:$A$24,0)),"")</f>
        <v>Reception</v>
      </c>
      <c r="F156" s="16" t="str">
        <f aca="false">IFERROR(INDEX('Staff Master'!$E$5:$E$24,MATCH(C156,'Staff Master'!$A$5:$A$24,0)),"")</f>
        <v>Receptionist</v>
      </c>
      <c r="G156" s="10" t="s">
        <v>94</v>
      </c>
      <c r="H156" s="17" t="n">
        <f aca="false">IFERROR(INDEX('Shift Master'!$C$5:$C$16,MATCH(G156,'Shift Master'!$A$5:$A$16,0)),"")</f>
        <v>0.541666666666667</v>
      </c>
      <c r="I156" s="17" t="n">
        <f aca="false">IFERROR(INDEX('Shift Master'!$D$5:$D$16,MATCH(G156,'Shift Master'!$A$5:$A$16,0)),"")</f>
        <v>0.916666666666667</v>
      </c>
      <c r="J156" s="16" t="n">
        <f aca="false">IFERROR(INDEX('Shift Master'!$E$5:$E$16,MATCH(G156,'Shift Master'!$A$5:$A$16,0)),"")</f>
        <v>60</v>
      </c>
      <c r="K156" s="16" t="n">
        <f aca="false">IFERROR(INDEX('Shift Master'!$G$5:$G$16,MATCH(G156,'Shift Master'!$A$5:$A$16,0)),0)</f>
        <v>8</v>
      </c>
      <c r="L156" s="16" t="s">
        <v>228</v>
      </c>
      <c r="M156" s="16" t="s">
        <v>229</v>
      </c>
      <c r="N156" s="16" t="str">
        <f aca="false">IF(COUNTIFS('Staffing Coverage'!$A$5:$A$12,E156,'Staffing Coverage'!$B$5:$B$12,G156)=0,"",IF(COUNTIFS($A$5:$A$10004,A156,$E$5:$E$10004,E156,$G$5:$G$10004,G156)&lt;INDEX('Staffing Coverage'!$C$5:$C$12,MATCH(1,('Staffing Coverage'!$A$5:$A$12=E156)*('Staffing Coverage'!$B$5:$B$12=G156),0)),"SHORT","OK"))</f>
        <v>OK</v>
      </c>
    </row>
    <row r="157" customFormat="false" ht="15" hidden="false" customHeight="false" outlineLevel="0" collapsed="false">
      <c r="A157" s="15" t="n">
        <v>46303</v>
      </c>
      <c r="B157" s="16" t="str">
        <f aca="false">TEXT(A157,"ddd")</f>
        <v>Thu</v>
      </c>
      <c r="C157" s="10" t="s">
        <v>188</v>
      </c>
      <c r="D157" s="16" t="str">
        <f aca="false">IFERROR(INDEX('Staff Master'!$B$5:$B$24,MATCH(C157,'Staff Master'!$A$5:$A$24,0)),"")</f>
        <v>Ana Reyes</v>
      </c>
      <c r="E157" s="16" t="str">
        <f aca="false">IFERROR(INDEX('Staff Master'!$D$5:$D$24,MATCH(C157,'Staff Master'!$A$5:$A$24,0)),"")</f>
        <v>Dental</v>
      </c>
      <c r="F157" s="16" t="str">
        <f aca="false">IFERROR(INDEX('Staff Master'!$E$5:$E$24,MATCH(C157,'Staff Master'!$A$5:$A$24,0)),"")</f>
        <v>Dental Assistant</v>
      </c>
      <c r="G157" s="10" t="s">
        <v>87</v>
      </c>
      <c r="H157" s="17" t="n">
        <f aca="false">IFERROR(INDEX('Shift Master'!$C$5:$C$16,MATCH(G157,'Shift Master'!$A$5:$A$16,0)),"")</f>
        <v>0.333333333333333</v>
      </c>
      <c r="I157" s="17" t="n">
        <f aca="false">IFERROR(INDEX('Shift Master'!$D$5:$D$16,MATCH(G157,'Shift Master'!$A$5:$A$16,0)),"")</f>
        <v>0.708333333333333</v>
      </c>
      <c r="J157" s="16" t="n">
        <f aca="false">IFERROR(INDEX('Shift Master'!$E$5:$E$16,MATCH(G157,'Shift Master'!$A$5:$A$16,0)),"")</f>
        <v>60</v>
      </c>
      <c r="K157" s="16" t="n">
        <f aca="false">IFERROR(INDEX('Shift Master'!$G$5:$G$16,MATCH(G157,'Shift Master'!$A$5:$A$16,0)),0)</f>
        <v>8</v>
      </c>
      <c r="L157" s="16" t="s">
        <v>228</v>
      </c>
      <c r="M157" s="16" t="s">
        <v>229</v>
      </c>
      <c r="N157" s="16" t="str">
        <f aca="false">IF(COUNTIFS('Staffing Coverage'!$A$5:$A$12,E157,'Staffing Coverage'!$B$5:$B$12,G157)=0,"",IF(COUNTIFS($A$5:$A$10004,A157,$E$5:$E$10004,E157,$G$5:$G$10004,G157)&lt;INDEX('Staffing Coverage'!$C$5:$C$12,MATCH(1,('Staffing Coverage'!$A$5:$A$12=E157)*('Staffing Coverage'!$B$5:$B$12=G157),0)),"SHORT","OK"))</f>
        <v>OK</v>
      </c>
    </row>
    <row r="158" customFormat="false" ht="15" hidden="false" customHeight="false" outlineLevel="0" collapsed="false">
      <c r="A158" s="15" t="n">
        <v>46303</v>
      </c>
      <c r="B158" s="16" t="str">
        <f aca="false">TEXT(A158,"ddd")</f>
        <v>Thu</v>
      </c>
      <c r="C158" s="10" t="s">
        <v>192</v>
      </c>
      <c r="D158" s="16" t="str">
        <f aca="false">IFERROR(INDEX('Staff Master'!$B$5:$B$24,MATCH(C158,'Staff Master'!$A$5:$A$24,0)),"")</f>
        <v>Noor Hassan</v>
      </c>
      <c r="E158" s="16" t="str">
        <f aca="false">IFERROR(INDEX('Staff Master'!$D$5:$D$24,MATCH(C158,'Staff Master'!$A$5:$A$24,0)),"")</f>
        <v>Dental</v>
      </c>
      <c r="F158" s="16" t="str">
        <f aca="false">IFERROR(INDEX('Staff Master'!$E$5:$E$24,MATCH(C158,'Staff Master'!$A$5:$A$24,0)),"")</f>
        <v>Dental Assistant</v>
      </c>
      <c r="G158" s="10" t="s">
        <v>90</v>
      </c>
      <c r="H158" s="17" t="n">
        <f aca="false">IFERROR(INDEX('Shift Master'!$C$5:$C$16,MATCH(G158,'Shift Master'!$A$5:$A$16,0)),"")</f>
        <v>0.375</v>
      </c>
      <c r="I158" s="17" t="n">
        <f aca="false">IFERROR(INDEX('Shift Master'!$D$5:$D$16,MATCH(G158,'Shift Master'!$A$5:$A$16,0)),"")</f>
        <v>0.75</v>
      </c>
      <c r="J158" s="16" t="n">
        <f aca="false">IFERROR(INDEX('Shift Master'!$E$5:$E$16,MATCH(G158,'Shift Master'!$A$5:$A$16,0)),"")</f>
        <v>60</v>
      </c>
      <c r="K158" s="16" t="n">
        <f aca="false">IFERROR(INDEX('Shift Master'!$G$5:$G$16,MATCH(G158,'Shift Master'!$A$5:$A$16,0)),0)</f>
        <v>8</v>
      </c>
      <c r="L158" s="16" t="s">
        <v>228</v>
      </c>
      <c r="M158" s="16" t="s">
        <v>229</v>
      </c>
      <c r="N158" s="16" t="str">
        <f aca="false">IF(COUNTIFS('Staffing Coverage'!$A$5:$A$12,E158,'Staffing Coverage'!$B$5:$B$12,G158)=0,"",IF(COUNTIFS($A$5:$A$10004,A158,$E$5:$E$10004,E158,$G$5:$G$10004,G158)&lt;INDEX('Staffing Coverage'!$C$5:$C$12,MATCH(1,('Staffing Coverage'!$A$5:$A$12=E158)*('Staffing Coverage'!$B$5:$B$12=G158),0)),"SHORT","OK"))</f>
        <v/>
      </c>
    </row>
    <row r="159" customFormat="false" ht="15" hidden="false" customHeight="false" outlineLevel="0" collapsed="false">
      <c r="A159" s="15" t="n">
        <v>46303</v>
      </c>
      <c r="B159" s="16" t="str">
        <f aca="false">TEXT(A159,"ddd")</f>
        <v>Thu</v>
      </c>
      <c r="C159" s="10" t="s">
        <v>196</v>
      </c>
      <c r="D159" s="16" t="str">
        <f aca="false">IFERROR(INDEX('Staff Master'!$B$5:$B$24,MATCH(C159,'Staff Master'!$A$5:$A$24,0)),"")</f>
        <v>Karan Mehta</v>
      </c>
      <c r="E159" s="16" t="str">
        <f aca="false">IFERROR(INDEX('Staff Master'!$D$5:$D$24,MATCH(C159,'Staff Master'!$A$5:$A$24,0)),"")</f>
        <v>Laser</v>
      </c>
      <c r="F159" s="16" t="str">
        <f aca="false">IFERROR(INDEX('Staff Master'!$E$5:$E$24,MATCH(C159,'Staff Master'!$A$5:$A$24,0)),"")</f>
        <v>Laser Technician</v>
      </c>
      <c r="G159" s="10" t="s">
        <v>90</v>
      </c>
      <c r="H159" s="17" t="n">
        <f aca="false">IFERROR(INDEX('Shift Master'!$C$5:$C$16,MATCH(G159,'Shift Master'!$A$5:$A$16,0)),"")</f>
        <v>0.375</v>
      </c>
      <c r="I159" s="17" t="n">
        <f aca="false">IFERROR(INDEX('Shift Master'!$D$5:$D$16,MATCH(G159,'Shift Master'!$A$5:$A$16,0)),"")</f>
        <v>0.75</v>
      </c>
      <c r="J159" s="16" t="n">
        <f aca="false">IFERROR(INDEX('Shift Master'!$E$5:$E$16,MATCH(G159,'Shift Master'!$A$5:$A$16,0)),"")</f>
        <v>60</v>
      </c>
      <c r="K159" s="16" t="n">
        <f aca="false">IFERROR(INDEX('Shift Master'!$G$5:$G$16,MATCH(G159,'Shift Master'!$A$5:$A$16,0)),0)</f>
        <v>8</v>
      </c>
      <c r="L159" s="16" t="s">
        <v>228</v>
      </c>
      <c r="M159" s="16" t="s">
        <v>229</v>
      </c>
      <c r="N159" s="16" t="str">
        <f aca="false">IF(COUNTIFS('Staffing Coverage'!$A$5:$A$12,E159,'Staffing Coverage'!$B$5:$B$12,G159)=0,"",IF(COUNTIFS($A$5:$A$10004,A159,$E$5:$E$10004,E159,$G$5:$G$10004,G159)&lt;INDEX('Staffing Coverage'!$C$5:$C$12,MATCH(1,('Staffing Coverage'!$A$5:$A$12=E159)*('Staffing Coverage'!$B$5:$B$12=G159),0)),"SHORT","OK"))</f>
        <v/>
      </c>
    </row>
    <row r="160" customFormat="false" ht="15" hidden="false" customHeight="false" outlineLevel="0" collapsed="false">
      <c r="A160" s="15" t="n">
        <v>46303</v>
      </c>
      <c r="B160" s="16" t="str">
        <f aca="false">TEXT(A160,"ddd")</f>
        <v>Thu</v>
      </c>
      <c r="C160" s="10" t="s">
        <v>200</v>
      </c>
      <c r="D160" s="16" t="str">
        <f aca="false">IFERROR(INDEX('Staff Master'!$B$5:$B$24,MATCH(C160,'Staff Master'!$A$5:$A$24,0)),"")</f>
        <v>Imran Sheikh</v>
      </c>
      <c r="E160" s="16" t="str">
        <f aca="false">IFERROR(INDEX('Staff Master'!$D$5:$D$24,MATCH(C160,'Staff Master'!$A$5:$A$24,0)),"")</f>
        <v>Dental Laboratory</v>
      </c>
      <c r="F160" s="16" t="str">
        <f aca="false">IFERROR(INDEX('Staff Master'!$E$5:$E$24,MATCH(C160,'Staff Master'!$A$5:$A$24,0)),"")</f>
        <v>Dental Technician</v>
      </c>
      <c r="G160" s="10" t="s">
        <v>87</v>
      </c>
      <c r="H160" s="17" t="n">
        <f aca="false">IFERROR(INDEX('Shift Master'!$C$5:$C$16,MATCH(G160,'Shift Master'!$A$5:$A$16,0)),"")</f>
        <v>0.333333333333333</v>
      </c>
      <c r="I160" s="17" t="n">
        <f aca="false">IFERROR(INDEX('Shift Master'!$D$5:$D$16,MATCH(G160,'Shift Master'!$A$5:$A$16,0)),"")</f>
        <v>0.708333333333333</v>
      </c>
      <c r="J160" s="16" t="n">
        <f aca="false">IFERROR(INDEX('Shift Master'!$E$5:$E$16,MATCH(G160,'Shift Master'!$A$5:$A$16,0)),"")</f>
        <v>60</v>
      </c>
      <c r="K160" s="16" t="n">
        <f aca="false">IFERROR(INDEX('Shift Master'!$G$5:$G$16,MATCH(G160,'Shift Master'!$A$5:$A$16,0)),0)</f>
        <v>8</v>
      </c>
      <c r="L160" s="16" t="s">
        <v>228</v>
      </c>
      <c r="M160" s="16" t="s">
        <v>229</v>
      </c>
      <c r="N160" s="16" t="str">
        <f aca="false">IF(COUNTIFS('Staffing Coverage'!$A$5:$A$12,E160,'Staffing Coverage'!$B$5:$B$12,G160)=0,"",IF(COUNTIFS($A$5:$A$10004,A160,$E$5:$E$10004,E160,$G$5:$G$10004,G160)&lt;INDEX('Staffing Coverage'!$C$5:$C$12,MATCH(1,('Staffing Coverage'!$A$5:$A$12=E160)*('Staffing Coverage'!$B$5:$B$12=G160),0)),"SHORT","OK"))</f>
        <v/>
      </c>
    </row>
    <row r="161" customFormat="false" ht="15" hidden="false" customHeight="false" outlineLevel="0" collapsed="false">
      <c r="A161" s="15" t="n">
        <v>46303</v>
      </c>
      <c r="B161" s="16" t="str">
        <f aca="false">TEXT(A161,"ddd")</f>
        <v>Thu</v>
      </c>
      <c r="C161" s="10" t="s">
        <v>204</v>
      </c>
      <c r="D161" s="16" t="str">
        <f aca="false">IFERROR(INDEX('Staff Master'!$B$5:$B$24,MATCH(C161,'Staff Master'!$A$5:$A$24,0)),"")</f>
        <v>Josephine Cruz</v>
      </c>
      <c r="E161" s="16" t="str">
        <f aca="false">IFERROR(INDEX('Staff Master'!$D$5:$D$24,MATCH(C161,'Staff Master'!$A$5:$A$24,0)),"")</f>
        <v>CSSD</v>
      </c>
      <c r="F161" s="16" t="str">
        <f aca="false">IFERROR(INDEX('Staff Master'!$E$5:$E$24,MATCH(C161,'Staff Master'!$A$5:$A$24,0)),"")</f>
        <v>CSSD Technician</v>
      </c>
      <c r="G161" s="10" t="s">
        <v>87</v>
      </c>
      <c r="H161" s="17" t="n">
        <f aca="false">IFERROR(INDEX('Shift Master'!$C$5:$C$16,MATCH(G161,'Shift Master'!$A$5:$A$16,0)),"")</f>
        <v>0.333333333333333</v>
      </c>
      <c r="I161" s="17" t="n">
        <f aca="false">IFERROR(INDEX('Shift Master'!$D$5:$D$16,MATCH(G161,'Shift Master'!$A$5:$A$16,0)),"")</f>
        <v>0.708333333333333</v>
      </c>
      <c r="J161" s="16" t="n">
        <f aca="false">IFERROR(INDEX('Shift Master'!$E$5:$E$16,MATCH(G161,'Shift Master'!$A$5:$A$16,0)),"")</f>
        <v>60</v>
      </c>
      <c r="K161" s="16" t="n">
        <f aca="false">IFERROR(INDEX('Shift Master'!$G$5:$G$16,MATCH(G161,'Shift Master'!$A$5:$A$16,0)),0)</f>
        <v>8</v>
      </c>
      <c r="L161" s="16" t="s">
        <v>228</v>
      </c>
      <c r="M161" s="16" t="s">
        <v>229</v>
      </c>
      <c r="N161" s="16" t="str">
        <f aca="false">IF(COUNTIFS('Staffing Coverage'!$A$5:$A$12,E161,'Staffing Coverage'!$B$5:$B$12,G161)=0,"",IF(COUNTIFS($A$5:$A$10004,A161,$E$5:$E$10004,E161,$G$5:$G$10004,G161)&lt;INDEX('Staffing Coverage'!$C$5:$C$12,MATCH(1,('Staffing Coverage'!$A$5:$A$12=E161)*('Staffing Coverage'!$B$5:$B$12=G161),0)),"SHORT","OK"))</f>
        <v>OK</v>
      </c>
    </row>
    <row r="162" customFormat="false" ht="15" hidden="false" customHeight="false" outlineLevel="0" collapsed="false">
      <c r="A162" s="15" t="n">
        <v>46303</v>
      </c>
      <c r="B162" s="16" t="str">
        <f aca="false">TEXT(A162,"ddd")</f>
        <v>Thu</v>
      </c>
      <c r="C162" s="10" t="s">
        <v>208</v>
      </c>
      <c r="D162" s="16" t="str">
        <f aca="false">IFERROR(INDEX('Staff Master'!$B$5:$B$24,MATCH(C162,'Staff Master'!$A$5:$A$24,0)),"")</f>
        <v>Rosalyn Tan</v>
      </c>
      <c r="E162" s="16" t="str">
        <f aca="false">IFERROR(INDEX('Staff Master'!$D$5:$D$24,MATCH(C162,'Staff Master'!$A$5:$A$24,0)),"")</f>
        <v>Cleaning</v>
      </c>
      <c r="F162" s="16" t="str">
        <f aca="false">IFERROR(INDEX('Staff Master'!$E$5:$E$24,MATCH(C162,'Staff Master'!$A$5:$A$24,0)),"")</f>
        <v>Cleaner</v>
      </c>
      <c r="G162" s="10" t="s">
        <v>87</v>
      </c>
      <c r="H162" s="17" t="n">
        <f aca="false">IFERROR(INDEX('Shift Master'!$C$5:$C$16,MATCH(G162,'Shift Master'!$A$5:$A$16,0)),"")</f>
        <v>0.333333333333333</v>
      </c>
      <c r="I162" s="17" t="n">
        <f aca="false">IFERROR(INDEX('Shift Master'!$D$5:$D$16,MATCH(G162,'Shift Master'!$A$5:$A$16,0)),"")</f>
        <v>0.708333333333333</v>
      </c>
      <c r="J162" s="16" t="n">
        <f aca="false">IFERROR(INDEX('Shift Master'!$E$5:$E$16,MATCH(G162,'Shift Master'!$A$5:$A$16,0)),"")</f>
        <v>60</v>
      </c>
      <c r="K162" s="16" t="n">
        <f aca="false">IFERROR(INDEX('Shift Master'!$G$5:$G$16,MATCH(G162,'Shift Master'!$A$5:$A$16,0)),0)</f>
        <v>8</v>
      </c>
      <c r="L162" s="16" t="s">
        <v>228</v>
      </c>
      <c r="M162" s="16" t="s">
        <v>229</v>
      </c>
      <c r="N162" s="16" t="str">
        <f aca="false">IF(COUNTIFS('Staffing Coverage'!$A$5:$A$12,E162,'Staffing Coverage'!$B$5:$B$12,G162)=0,"",IF(COUNTIFS($A$5:$A$10004,A162,$E$5:$E$10004,E162,$G$5:$G$10004,G162)&lt;INDEX('Staffing Coverage'!$C$5:$C$12,MATCH(1,('Staffing Coverage'!$A$5:$A$12=E162)*('Staffing Coverage'!$B$5:$B$12=G162),0)),"SHORT","OK"))</f>
        <v>OK</v>
      </c>
    </row>
    <row r="163" customFormat="false" ht="15" hidden="false" customHeight="false" outlineLevel="0" collapsed="false">
      <c r="A163" s="15" t="n">
        <v>46303</v>
      </c>
      <c r="B163" s="16" t="str">
        <f aca="false">TEXT(A163,"ddd")</f>
        <v>Thu</v>
      </c>
      <c r="C163" s="10" t="s">
        <v>212</v>
      </c>
      <c r="D163" s="16" t="str">
        <f aca="false">IFERROR(INDEX('Staff Master'!$B$5:$B$24,MATCH(C163,'Staff Master'!$A$5:$A$24,0)),"")</f>
        <v>Hassan Baig</v>
      </c>
      <c r="E163" s="16" t="str">
        <f aca="false">IFERROR(INDEX('Staff Master'!$D$5:$D$24,MATCH(C163,'Staff Master'!$A$5:$A$24,0)),"")</f>
        <v>Facilities</v>
      </c>
      <c r="F163" s="16" t="str">
        <f aca="false">IFERROR(INDEX('Staff Master'!$E$5:$E$24,MATCH(C163,'Staff Master'!$A$5:$A$24,0)),"")</f>
        <v>Facility Manager</v>
      </c>
      <c r="G163" s="10" t="s">
        <v>90</v>
      </c>
      <c r="H163" s="17" t="n">
        <f aca="false">IFERROR(INDEX('Shift Master'!$C$5:$C$16,MATCH(G163,'Shift Master'!$A$5:$A$16,0)),"")</f>
        <v>0.375</v>
      </c>
      <c r="I163" s="17" t="n">
        <f aca="false">IFERROR(INDEX('Shift Master'!$D$5:$D$16,MATCH(G163,'Shift Master'!$A$5:$A$16,0)),"")</f>
        <v>0.75</v>
      </c>
      <c r="J163" s="16" t="n">
        <f aca="false">IFERROR(INDEX('Shift Master'!$E$5:$E$16,MATCH(G163,'Shift Master'!$A$5:$A$16,0)),"")</f>
        <v>60</v>
      </c>
      <c r="K163" s="16" t="n">
        <f aca="false">IFERROR(INDEX('Shift Master'!$G$5:$G$16,MATCH(G163,'Shift Master'!$A$5:$A$16,0)),0)</f>
        <v>8</v>
      </c>
      <c r="L163" s="16" t="s">
        <v>228</v>
      </c>
      <c r="M163" s="16" t="s">
        <v>229</v>
      </c>
      <c r="N163" s="16" t="str">
        <f aca="false">IF(COUNTIFS('Staffing Coverage'!$A$5:$A$12,E163,'Staffing Coverage'!$B$5:$B$12,G163)=0,"",IF(COUNTIFS($A$5:$A$10004,A163,$E$5:$E$10004,E163,$G$5:$G$10004,G163)&lt;INDEX('Staffing Coverage'!$C$5:$C$12,MATCH(1,('Staffing Coverage'!$A$5:$A$12=E163)*('Staffing Coverage'!$B$5:$B$12=G163),0)),"SHORT","OK"))</f>
        <v/>
      </c>
    </row>
    <row r="164" customFormat="false" ht="15" hidden="false" customHeight="false" outlineLevel="0" collapsed="false">
      <c r="A164" s="15" t="n">
        <v>46303</v>
      </c>
      <c r="B164" s="16" t="str">
        <f aca="false">TEXT(A164,"ddd")</f>
        <v>Thu</v>
      </c>
      <c r="C164" s="10" t="s">
        <v>178</v>
      </c>
      <c r="D164" s="16" t="str">
        <f aca="false">IFERROR(INDEX('Staff Master'!$B$5:$B$24,MATCH(C164,'Staff Master'!$A$5:$A$24,0)),"")</f>
        <v>Meera Pillai</v>
      </c>
      <c r="E164" s="16" t="str">
        <f aca="false">IFERROR(INDEX('Staff Master'!$D$5:$D$24,MATCH(C164,'Staff Master'!$A$5:$A$24,0)),"")</f>
        <v>HR</v>
      </c>
      <c r="F164" s="16" t="str">
        <f aca="false">IFERROR(INDEX('Staff Master'!$E$5:$E$24,MATCH(C164,'Staff Master'!$A$5:$A$24,0)),"")</f>
        <v>HR Executive</v>
      </c>
      <c r="G164" s="10" t="s">
        <v>90</v>
      </c>
      <c r="H164" s="17" t="n">
        <f aca="false">IFERROR(INDEX('Shift Master'!$C$5:$C$16,MATCH(G164,'Shift Master'!$A$5:$A$16,0)),"")</f>
        <v>0.375</v>
      </c>
      <c r="I164" s="17" t="n">
        <f aca="false">IFERROR(INDEX('Shift Master'!$D$5:$D$16,MATCH(G164,'Shift Master'!$A$5:$A$16,0)),"")</f>
        <v>0.75</v>
      </c>
      <c r="J164" s="16" t="n">
        <f aca="false">IFERROR(INDEX('Shift Master'!$E$5:$E$16,MATCH(G164,'Shift Master'!$A$5:$A$16,0)),"")</f>
        <v>60</v>
      </c>
      <c r="K164" s="16" t="n">
        <f aca="false">IFERROR(INDEX('Shift Master'!$G$5:$G$16,MATCH(G164,'Shift Master'!$A$5:$A$16,0)),0)</f>
        <v>8</v>
      </c>
      <c r="L164" s="16" t="s">
        <v>228</v>
      </c>
      <c r="M164" s="16" t="s">
        <v>229</v>
      </c>
      <c r="N164" s="16" t="str">
        <f aca="false">IF(COUNTIFS('Staffing Coverage'!$A$5:$A$12,E164,'Staffing Coverage'!$B$5:$B$12,G164)=0,"",IF(COUNTIFS($A$5:$A$10004,A164,$E$5:$E$10004,E164,$G$5:$G$10004,G164)&lt;INDEX('Staffing Coverage'!$C$5:$C$12,MATCH(1,('Staffing Coverage'!$A$5:$A$12=E164)*('Staffing Coverage'!$B$5:$B$12=G164),0)),"SHORT","OK"))</f>
        <v/>
      </c>
    </row>
    <row r="165" customFormat="false" ht="15" hidden="false" customHeight="false" outlineLevel="0" collapsed="false">
      <c r="A165" s="15" t="n">
        <v>46304</v>
      </c>
      <c r="B165" s="16" t="str">
        <f aca="false">TEXT(A165,"ddd")</f>
        <v>Fri</v>
      </c>
      <c r="C165" s="10" t="s">
        <v>128</v>
      </c>
      <c r="D165" s="16" t="str">
        <f aca="false">IFERROR(INDEX('Staff Master'!$B$5:$B$24,MATCH(C165,'Staff Master'!$A$5:$A$24,0)),"")</f>
        <v>Rashid Al Nuaimi</v>
      </c>
      <c r="E165" s="16" t="str">
        <f aca="false">IFERROR(INDEX('Staff Master'!$D$5:$D$24,MATCH(C165,'Staff Master'!$A$5:$A$24,0)),"")</f>
        <v>Management</v>
      </c>
      <c r="F165" s="16" t="str">
        <f aca="false">IFERROR(INDEX('Staff Master'!$E$5:$E$24,MATCH(C165,'Staff Master'!$A$5:$A$24,0)),"")</f>
        <v>CEO</v>
      </c>
      <c r="G165" s="10" t="s">
        <v>90</v>
      </c>
      <c r="H165" s="17" t="n">
        <f aca="false">IFERROR(INDEX('Shift Master'!$C$5:$C$16,MATCH(G165,'Shift Master'!$A$5:$A$16,0)),"")</f>
        <v>0.375</v>
      </c>
      <c r="I165" s="17" t="n">
        <f aca="false">IFERROR(INDEX('Shift Master'!$D$5:$D$16,MATCH(G165,'Shift Master'!$A$5:$A$16,0)),"")</f>
        <v>0.75</v>
      </c>
      <c r="J165" s="16" t="n">
        <f aca="false">IFERROR(INDEX('Shift Master'!$E$5:$E$16,MATCH(G165,'Shift Master'!$A$5:$A$16,0)),"")</f>
        <v>60</v>
      </c>
      <c r="K165" s="16" t="n">
        <f aca="false">IFERROR(INDEX('Shift Master'!$G$5:$G$16,MATCH(G165,'Shift Master'!$A$5:$A$16,0)),0)</f>
        <v>8</v>
      </c>
      <c r="L165" s="16" t="s">
        <v>228</v>
      </c>
      <c r="M165" s="16" t="s">
        <v>229</v>
      </c>
      <c r="N165" s="16" t="str">
        <f aca="false">IF(COUNTIFS('Staffing Coverage'!$A$5:$A$12,E165,'Staffing Coverage'!$B$5:$B$12,G165)=0,"",IF(COUNTIFS($A$5:$A$10004,A165,$E$5:$E$10004,E165,$G$5:$G$10004,G165)&lt;INDEX('Staffing Coverage'!$C$5:$C$12,MATCH(1,('Staffing Coverage'!$A$5:$A$12=E165)*('Staffing Coverage'!$B$5:$B$12=G165),0)),"SHORT","OK"))</f>
        <v/>
      </c>
    </row>
    <row r="166" customFormat="false" ht="15" hidden="false" customHeight="false" outlineLevel="0" collapsed="false">
      <c r="A166" s="15" t="n">
        <v>46304</v>
      </c>
      <c r="B166" s="16" t="str">
        <f aca="false">TEXT(A166,"ddd")</f>
        <v>Fri</v>
      </c>
      <c r="C166" s="10" t="s">
        <v>137</v>
      </c>
      <c r="D166" s="16" t="str">
        <f aca="false">IFERROR(INDEX('Staff Master'!$B$5:$B$24,MATCH(C166,'Staff Master'!$A$5:$A$24,0)),"")</f>
        <v>Dr. Sara Haddad</v>
      </c>
      <c r="E166" s="16" t="str">
        <f aca="false">IFERROR(INDEX('Staff Master'!$D$5:$D$24,MATCH(C166,'Staff Master'!$A$5:$A$24,0)),"")</f>
        <v>General Practice</v>
      </c>
      <c r="F166" s="16" t="str">
        <f aca="false">IFERROR(INDEX('Staff Master'!$E$5:$E$24,MATCH(C166,'Staff Master'!$A$5:$A$24,0)),"")</f>
        <v>Medical Director</v>
      </c>
      <c r="G166" s="10" t="s">
        <v>97</v>
      </c>
      <c r="H166" s="17" t="n">
        <f aca="false">IFERROR(INDEX('Shift Master'!$C$5:$C$16,MATCH(G166,'Shift Master'!$A$5:$A$16,0)),"")</f>
        <v>0</v>
      </c>
      <c r="I166" s="17" t="n">
        <f aca="false">IFERROR(INDEX('Shift Master'!$D$5:$D$16,MATCH(G166,'Shift Master'!$A$5:$A$16,0)),"")</f>
        <v>0</v>
      </c>
      <c r="J166" s="16" t="n">
        <f aca="false">IFERROR(INDEX('Shift Master'!$E$5:$E$16,MATCH(G166,'Shift Master'!$A$5:$A$16,0)),"")</f>
        <v>0</v>
      </c>
      <c r="K166" s="16" t="n">
        <f aca="false">IFERROR(INDEX('Shift Master'!$G$5:$G$16,MATCH(G166,'Shift Master'!$A$5:$A$16,0)),0)</f>
        <v>0</v>
      </c>
      <c r="L166" s="16" t="s">
        <v>228</v>
      </c>
      <c r="M166" s="16" t="s">
        <v>229</v>
      </c>
      <c r="N166" s="16" t="str">
        <f aca="false">IF(COUNTIFS('Staffing Coverage'!$A$5:$A$12,E166,'Staffing Coverage'!$B$5:$B$12,G166)=0,"",IF(COUNTIFS($A$5:$A$10004,A166,$E$5:$E$10004,E166,$G$5:$G$10004,G166)&lt;INDEX('Staffing Coverage'!$C$5:$C$12,MATCH(1,('Staffing Coverage'!$A$5:$A$12=E166)*('Staffing Coverage'!$B$5:$B$12=G166),0)),"SHORT","OK"))</f>
        <v/>
      </c>
    </row>
    <row r="167" customFormat="false" ht="15" hidden="false" customHeight="false" outlineLevel="0" collapsed="false">
      <c r="A167" s="15" t="n">
        <v>46304</v>
      </c>
      <c r="B167" s="16" t="str">
        <f aca="false">TEXT(A167,"ddd")</f>
        <v>Fri</v>
      </c>
      <c r="C167" s="10" t="s">
        <v>142</v>
      </c>
      <c r="D167" s="16" t="str">
        <f aca="false">IFERROR(INDEX('Staff Master'!$B$5:$B$24,MATCH(C167,'Staff Master'!$A$5:$A$24,0)),"")</f>
        <v>Dr. Omar Khalil</v>
      </c>
      <c r="E167" s="16" t="str">
        <f aca="false">IFERROR(INDEX('Staff Master'!$D$5:$D$24,MATCH(C167,'Staff Master'!$A$5:$A$24,0)),"")</f>
        <v>General Practice</v>
      </c>
      <c r="F167" s="16" t="str">
        <f aca="false">IFERROR(INDEX('Staff Master'!$E$5:$E$24,MATCH(C167,'Staff Master'!$A$5:$A$24,0)),"")</f>
        <v>Doctor</v>
      </c>
      <c r="G167" s="10" t="s">
        <v>96</v>
      </c>
      <c r="H167" s="17" t="n">
        <f aca="false">IFERROR(INDEX('Shift Master'!$C$5:$C$16,MATCH(G167,'Shift Master'!$A$5:$A$16,0)),"")</f>
        <v>0.375</v>
      </c>
      <c r="I167" s="17" t="n">
        <f aca="false">IFERROR(INDEX('Shift Master'!$D$5:$D$16,MATCH(G167,'Shift Master'!$A$5:$A$16,0)),"")</f>
        <v>0.708333333333333</v>
      </c>
      <c r="J167" s="16" t="n">
        <f aca="false">IFERROR(INDEX('Shift Master'!$E$5:$E$16,MATCH(G167,'Shift Master'!$A$5:$A$16,0)),"")</f>
        <v>60</v>
      </c>
      <c r="K167" s="16" t="n">
        <f aca="false">IFERROR(INDEX('Shift Master'!$G$5:$G$16,MATCH(G167,'Shift Master'!$A$5:$A$16,0)),0)</f>
        <v>7</v>
      </c>
      <c r="L167" s="16" t="s">
        <v>228</v>
      </c>
      <c r="M167" s="16" t="s">
        <v>229</v>
      </c>
      <c r="N167" s="16" t="str">
        <f aca="false">IF(COUNTIFS('Staffing Coverage'!$A$5:$A$12,E167,'Staffing Coverage'!$B$5:$B$12,G167)=0,"",IF(COUNTIFS($A$5:$A$10004,A167,$E$5:$E$10004,E167,$G$5:$G$10004,G167)&lt;INDEX('Staffing Coverage'!$C$5:$C$12,MATCH(1,('Staffing Coverage'!$A$5:$A$12=E167)*('Staffing Coverage'!$B$5:$B$12=G167),0)),"SHORT","OK"))</f>
        <v/>
      </c>
    </row>
    <row r="168" customFormat="false" ht="15" hidden="false" customHeight="false" outlineLevel="0" collapsed="false">
      <c r="A168" s="15" t="n">
        <v>46304</v>
      </c>
      <c r="B168" s="16" t="str">
        <f aca="false">TEXT(A168,"ddd")</f>
        <v>Fri</v>
      </c>
      <c r="C168" s="10" t="s">
        <v>146</v>
      </c>
      <c r="D168" s="16" t="str">
        <f aca="false">IFERROR(INDEX('Staff Master'!$B$5:$B$24,MATCH(C168,'Staff Master'!$A$5:$A$24,0)),"")</f>
        <v>Dr. Lina Abboud</v>
      </c>
      <c r="E168" s="16" t="str">
        <f aca="false">IFERROR(INDEX('Staff Master'!$D$5:$D$24,MATCH(C168,'Staff Master'!$A$5:$A$24,0)),"")</f>
        <v>Dental</v>
      </c>
      <c r="F168" s="16" t="str">
        <f aca="false">IFERROR(INDEX('Staff Master'!$E$5:$E$24,MATCH(C168,'Staff Master'!$A$5:$A$24,0)),"")</f>
        <v>Dentist</v>
      </c>
      <c r="G168" s="10" t="s">
        <v>97</v>
      </c>
      <c r="H168" s="17" t="n">
        <f aca="false">IFERROR(INDEX('Shift Master'!$C$5:$C$16,MATCH(G168,'Shift Master'!$A$5:$A$16,0)),"")</f>
        <v>0</v>
      </c>
      <c r="I168" s="17" t="n">
        <f aca="false">IFERROR(INDEX('Shift Master'!$D$5:$D$16,MATCH(G168,'Shift Master'!$A$5:$A$16,0)),"")</f>
        <v>0</v>
      </c>
      <c r="J168" s="16" t="n">
        <f aca="false">IFERROR(INDEX('Shift Master'!$E$5:$E$16,MATCH(G168,'Shift Master'!$A$5:$A$16,0)),"")</f>
        <v>0</v>
      </c>
      <c r="K168" s="16" t="n">
        <f aca="false">IFERROR(INDEX('Shift Master'!$G$5:$G$16,MATCH(G168,'Shift Master'!$A$5:$A$16,0)),0)</f>
        <v>0</v>
      </c>
      <c r="L168" s="16" t="s">
        <v>228</v>
      </c>
      <c r="M168" s="16" t="s">
        <v>229</v>
      </c>
      <c r="N168" s="16" t="str">
        <f aca="false">IF(COUNTIFS('Staffing Coverage'!$A$5:$A$12,E168,'Staffing Coverage'!$B$5:$B$12,G168)=0,"",IF(COUNTIFS($A$5:$A$10004,A168,$E$5:$E$10004,E168,$G$5:$G$10004,G168)&lt;INDEX('Staffing Coverage'!$C$5:$C$12,MATCH(1,('Staffing Coverage'!$A$5:$A$12=E168)*('Staffing Coverage'!$B$5:$B$12=G168),0)),"SHORT","OK"))</f>
        <v/>
      </c>
    </row>
    <row r="169" customFormat="false" ht="15" hidden="false" customHeight="false" outlineLevel="0" collapsed="false">
      <c r="A169" s="15" t="n">
        <v>46304</v>
      </c>
      <c r="B169" s="16" t="str">
        <f aca="false">TEXT(A169,"ddd")</f>
        <v>Fri</v>
      </c>
      <c r="C169" s="10" t="s">
        <v>150</v>
      </c>
      <c r="D169" s="16" t="str">
        <f aca="false">IFERROR(INDEX('Staff Master'!$B$5:$B$24,MATCH(C169,'Staff Master'!$A$5:$A$24,0)),"")</f>
        <v>Dr. Farah Idris</v>
      </c>
      <c r="E169" s="16" t="str">
        <f aca="false">IFERROR(INDEX('Staff Master'!$D$5:$D$24,MATCH(C169,'Staff Master'!$A$5:$A$24,0)),"")</f>
        <v>Dental</v>
      </c>
      <c r="F169" s="16" t="str">
        <f aca="false">IFERROR(INDEX('Staff Master'!$E$5:$E$24,MATCH(C169,'Staff Master'!$A$5:$A$24,0)),"")</f>
        <v>Dentist</v>
      </c>
      <c r="G169" s="10" t="s">
        <v>96</v>
      </c>
      <c r="H169" s="17" t="n">
        <f aca="false">IFERROR(INDEX('Shift Master'!$C$5:$C$16,MATCH(G169,'Shift Master'!$A$5:$A$16,0)),"")</f>
        <v>0.375</v>
      </c>
      <c r="I169" s="17" t="n">
        <f aca="false">IFERROR(INDEX('Shift Master'!$D$5:$D$16,MATCH(G169,'Shift Master'!$A$5:$A$16,0)),"")</f>
        <v>0.708333333333333</v>
      </c>
      <c r="J169" s="16" t="n">
        <f aca="false">IFERROR(INDEX('Shift Master'!$E$5:$E$16,MATCH(G169,'Shift Master'!$A$5:$A$16,0)),"")</f>
        <v>60</v>
      </c>
      <c r="K169" s="16" t="n">
        <f aca="false">IFERROR(INDEX('Shift Master'!$G$5:$G$16,MATCH(G169,'Shift Master'!$A$5:$A$16,0)),0)</f>
        <v>7</v>
      </c>
      <c r="L169" s="16" t="s">
        <v>228</v>
      </c>
      <c r="M169" s="16" t="s">
        <v>229</v>
      </c>
      <c r="N169" s="16" t="str">
        <f aca="false">IF(COUNTIFS('Staffing Coverage'!$A$5:$A$12,E169,'Staffing Coverage'!$B$5:$B$12,G169)=0,"",IF(COUNTIFS($A$5:$A$10004,A169,$E$5:$E$10004,E169,$G$5:$G$10004,G169)&lt;INDEX('Staffing Coverage'!$C$5:$C$12,MATCH(1,('Staffing Coverage'!$A$5:$A$12=E169)*('Staffing Coverage'!$B$5:$B$12=G169),0)),"SHORT","OK"))</f>
        <v/>
      </c>
    </row>
    <row r="170" customFormat="false" ht="15" hidden="false" customHeight="false" outlineLevel="0" collapsed="false">
      <c r="A170" s="15" t="n">
        <v>46304</v>
      </c>
      <c r="B170" s="16" t="str">
        <f aca="false">TEXT(A170,"ddd")</f>
        <v>Fri</v>
      </c>
      <c r="C170" s="10" t="s">
        <v>157</v>
      </c>
      <c r="D170" s="16" t="str">
        <f aca="false">IFERROR(INDEX('Staff Master'!$B$5:$B$24,MATCH(C170,'Staff Master'!$A$5:$A$24,0)),"")</f>
        <v>Dr. Youssef Nassar</v>
      </c>
      <c r="E170" s="16" t="str">
        <f aca="false">IFERROR(INDEX('Staff Master'!$D$5:$D$24,MATCH(C170,'Staff Master'!$A$5:$A$24,0)),"")</f>
        <v>General Practice</v>
      </c>
      <c r="F170" s="16" t="str">
        <f aca="false">IFERROR(INDEX('Staff Master'!$E$5:$E$24,MATCH(C170,'Staff Master'!$A$5:$A$24,0)),"")</f>
        <v>General Practitioner</v>
      </c>
      <c r="G170" s="10" t="s">
        <v>96</v>
      </c>
      <c r="H170" s="17" t="n">
        <f aca="false">IFERROR(INDEX('Shift Master'!$C$5:$C$16,MATCH(G170,'Shift Master'!$A$5:$A$16,0)),"")</f>
        <v>0.375</v>
      </c>
      <c r="I170" s="17" t="n">
        <f aca="false">IFERROR(INDEX('Shift Master'!$D$5:$D$16,MATCH(G170,'Shift Master'!$A$5:$A$16,0)),"")</f>
        <v>0.708333333333333</v>
      </c>
      <c r="J170" s="16" t="n">
        <f aca="false">IFERROR(INDEX('Shift Master'!$E$5:$E$16,MATCH(G170,'Shift Master'!$A$5:$A$16,0)),"")</f>
        <v>60</v>
      </c>
      <c r="K170" s="16" t="n">
        <f aca="false">IFERROR(INDEX('Shift Master'!$G$5:$G$16,MATCH(G170,'Shift Master'!$A$5:$A$16,0)),0)</f>
        <v>7</v>
      </c>
      <c r="L170" s="16" t="s">
        <v>228</v>
      </c>
      <c r="M170" s="16" t="s">
        <v>229</v>
      </c>
      <c r="N170" s="16" t="str">
        <f aca="false">IF(COUNTIFS('Staffing Coverage'!$A$5:$A$12,E170,'Staffing Coverage'!$B$5:$B$12,G170)=0,"",IF(COUNTIFS($A$5:$A$10004,A170,$E$5:$E$10004,E170,$G$5:$G$10004,G170)&lt;INDEX('Staffing Coverage'!$C$5:$C$12,MATCH(1,('Staffing Coverage'!$A$5:$A$12=E170)*('Staffing Coverage'!$B$5:$B$12=G170),0)),"SHORT","OK"))</f>
        <v/>
      </c>
    </row>
    <row r="171" customFormat="false" ht="15" hidden="false" customHeight="false" outlineLevel="0" collapsed="false">
      <c r="A171" s="15" t="n">
        <v>46304</v>
      </c>
      <c r="B171" s="16" t="str">
        <f aca="false">TEXT(A171,"ddd")</f>
        <v>Fri</v>
      </c>
      <c r="C171" s="10" t="s">
        <v>161</v>
      </c>
      <c r="D171" s="16" t="str">
        <f aca="false">IFERROR(INDEX('Staff Master'!$B$5:$B$24,MATCH(C171,'Staff Master'!$A$5:$A$24,0)),"")</f>
        <v>Grace Fernandez</v>
      </c>
      <c r="E171" s="16" t="str">
        <f aca="false">IFERROR(INDEX('Staff Master'!$D$5:$D$24,MATCH(C171,'Staff Master'!$A$5:$A$24,0)),"")</f>
        <v>Nursing</v>
      </c>
      <c r="F171" s="16" t="str">
        <f aca="false">IFERROR(INDEX('Staff Master'!$E$5:$E$24,MATCH(C171,'Staff Master'!$A$5:$A$24,0)),"")</f>
        <v>Nurse</v>
      </c>
      <c r="G171" s="10" t="s">
        <v>87</v>
      </c>
      <c r="H171" s="17" t="n">
        <f aca="false">IFERROR(INDEX('Shift Master'!$C$5:$C$16,MATCH(G171,'Shift Master'!$A$5:$A$16,0)),"")</f>
        <v>0.333333333333333</v>
      </c>
      <c r="I171" s="17" t="n">
        <f aca="false">IFERROR(INDEX('Shift Master'!$D$5:$D$16,MATCH(G171,'Shift Master'!$A$5:$A$16,0)),"")</f>
        <v>0.708333333333333</v>
      </c>
      <c r="J171" s="16" t="n">
        <f aca="false">IFERROR(INDEX('Shift Master'!$E$5:$E$16,MATCH(G171,'Shift Master'!$A$5:$A$16,0)),"")</f>
        <v>60</v>
      </c>
      <c r="K171" s="16" t="n">
        <f aca="false">IFERROR(INDEX('Shift Master'!$G$5:$G$16,MATCH(G171,'Shift Master'!$A$5:$A$16,0)),0)</f>
        <v>8</v>
      </c>
      <c r="L171" s="16" t="s">
        <v>228</v>
      </c>
      <c r="M171" s="16" t="s">
        <v>229</v>
      </c>
      <c r="N171" s="16" t="str">
        <f aca="false">IF(COUNTIFS('Staffing Coverage'!$A$5:$A$12,E171,'Staffing Coverage'!$B$5:$B$12,G171)=0,"",IF(COUNTIFS($A$5:$A$10004,A171,$E$5:$E$10004,E171,$G$5:$G$10004,G171)&lt;INDEX('Staffing Coverage'!$C$5:$C$12,MATCH(1,('Staffing Coverage'!$A$5:$A$12=E171)*('Staffing Coverage'!$B$5:$B$12=G171),0)),"SHORT","OK"))</f>
        <v>OK</v>
      </c>
    </row>
    <row r="172" customFormat="false" ht="15" hidden="false" customHeight="false" outlineLevel="0" collapsed="false">
      <c r="A172" s="15" t="n">
        <v>46304</v>
      </c>
      <c r="B172" s="16" t="str">
        <f aca="false">TEXT(A172,"ddd")</f>
        <v>Fri</v>
      </c>
      <c r="C172" s="10" t="s">
        <v>165</v>
      </c>
      <c r="D172" s="16" t="str">
        <f aca="false">IFERROR(INDEX('Staff Master'!$B$5:$B$24,MATCH(C172,'Staff Master'!$A$5:$A$24,0)),"")</f>
        <v>Priya Nair</v>
      </c>
      <c r="E172" s="16" t="str">
        <f aca="false">IFERROR(INDEX('Staff Master'!$D$5:$D$24,MATCH(C172,'Staff Master'!$A$5:$A$24,0)),"")</f>
        <v>Nursing</v>
      </c>
      <c r="F172" s="16" t="str">
        <f aca="false">IFERROR(INDEX('Staff Master'!$E$5:$E$24,MATCH(C172,'Staff Master'!$A$5:$A$24,0)),"")</f>
        <v>Nurse</v>
      </c>
      <c r="G172" s="10" t="s">
        <v>100</v>
      </c>
      <c r="H172" s="17" t="n">
        <f aca="false">IFERROR(INDEX('Shift Master'!$C$5:$C$16,MATCH(G172,'Shift Master'!$A$5:$A$16,0)),"")</f>
        <v>0</v>
      </c>
      <c r="I172" s="17" t="n">
        <f aca="false">IFERROR(INDEX('Shift Master'!$D$5:$D$16,MATCH(G172,'Shift Master'!$A$5:$A$16,0)),"")</f>
        <v>0</v>
      </c>
      <c r="J172" s="16" t="n">
        <f aca="false">IFERROR(INDEX('Shift Master'!$E$5:$E$16,MATCH(G172,'Shift Master'!$A$5:$A$16,0)),"")</f>
        <v>0</v>
      </c>
      <c r="K172" s="16" t="n">
        <f aca="false">IFERROR(INDEX('Shift Master'!$G$5:$G$16,MATCH(G172,'Shift Master'!$A$5:$A$16,0)),0)</f>
        <v>0</v>
      </c>
      <c r="L172" s="16" t="s">
        <v>228</v>
      </c>
      <c r="M172" s="16" t="s">
        <v>229</v>
      </c>
      <c r="N172" s="16" t="str">
        <f aca="false">IF(COUNTIFS('Staffing Coverage'!$A$5:$A$12,E172,'Staffing Coverage'!$B$5:$B$12,G172)=0,"",IF(COUNTIFS($A$5:$A$10004,A172,$E$5:$E$10004,E172,$G$5:$G$10004,G172)&lt;INDEX('Staffing Coverage'!$C$5:$C$12,MATCH(1,('Staffing Coverage'!$A$5:$A$12=E172)*('Staffing Coverage'!$B$5:$B$12=G172),0)),"SHORT","OK"))</f>
        <v/>
      </c>
    </row>
    <row r="173" customFormat="false" ht="15" hidden="false" customHeight="false" outlineLevel="0" collapsed="false">
      <c r="A173" s="15" t="n">
        <v>46304</v>
      </c>
      <c r="B173" s="16" t="str">
        <f aca="false">TEXT(A173,"ddd")</f>
        <v>Fri</v>
      </c>
      <c r="C173" s="10" t="s">
        <v>170</v>
      </c>
      <c r="D173" s="16" t="str">
        <f aca="false">IFERROR(INDEX('Staff Master'!$B$5:$B$24,MATCH(C173,'Staff Master'!$A$5:$A$24,0)),"")</f>
        <v>Maria Santos</v>
      </c>
      <c r="E173" s="16" t="str">
        <f aca="false">IFERROR(INDEX('Staff Master'!$D$5:$D$24,MATCH(C173,'Staff Master'!$A$5:$A$24,0)),"")</f>
        <v>Nursing</v>
      </c>
      <c r="F173" s="16" t="str">
        <f aca="false">IFERROR(INDEX('Staff Master'!$E$5:$E$24,MATCH(C173,'Staff Master'!$A$5:$A$24,0)),"")</f>
        <v>Nurse</v>
      </c>
      <c r="G173" s="10" t="s">
        <v>94</v>
      </c>
      <c r="H173" s="17" t="n">
        <f aca="false">IFERROR(INDEX('Shift Master'!$C$5:$C$16,MATCH(G173,'Shift Master'!$A$5:$A$16,0)),"")</f>
        <v>0.541666666666667</v>
      </c>
      <c r="I173" s="17" t="n">
        <f aca="false">IFERROR(INDEX('Shift Master'!$D$5:$D$16,MATCH(G173,'Shift Master'!$A$5:$A$16,0)),"")</f>
        <v>0.916666666666667</v>
      </c>
      <c r="J173" s="16" t="n">
        <f aca="false">IFERROR(INDEX('Shift Master'!$E$5:$E$16,MATCH(G173,'Shift Master'!$A$5:$A$16,0)),"")</f>
        <v>60</v>
      </c>
      <c r="K173" s="16" t="n">
        <f aca="false">IFERROR(INDEX('Shift Master'!$G$5:$G$16,MATCH(G173,'Shift Master'!$A$5:$A$16,0)),0)</f>
        <v>8</v>
      </c>
      <c r="L173" s="16" t="s">
        <v>228</v>
      </c>
      <c r="M173" s="16" t="s">
        <v>229</v>
      </c>
      <c r="N173" s="16" t="str">
        <f aca="false">IF(COUNTIFS('Staffing Coverage'!$A$5:$A$12,E173,'Staffing Coverage'!$B$5:$B$12,G173)=0,"",IF(COUNTIFS($A$5:$A$10004,A173,$E$5:$E$10004,E173,$G$5:$G$10004,G173)&lt;INDEX('Staffing Coverage'!$C$5:$C$12,MATCH(1,('Staffing Coverage'!$A$5:$A$12=E173)*('Staffing Coverage'!$B$5:$B$12=G173),0)),"SHORT","OK"))</f>
        <v/>
      </c>
    </row>
    <row r="174" customFormat="false" ht="15" hidden="false" customHeight="false" outlineLevel="0" collapsed="false">
      <c r="A174" s="15" t="n">
        <v>46304</v>
      </c>
      <c r="B174" s="16" t="str">
        <f aca="false">TEXT(A174,"ddd")</f>
        <v>Fri</v>
      </c>
      <c r="C174" s="10" t="s">
        <v>174</v>
      </c>
      <c r="D174" s="16" t="str">
        <f aca="false">IFERROR(INDEX('Staff Master'!$B$5:$B$24,MATCH(C174,'Staff Master'!$A$5:$A$24,0)),"")</f>
        <v>Aisha Al Shamsi</v>
      </c>
      <c r="E174" s="16" t="str">
        <f aca="false">IFERROR(INDEX('Staff Master'!$D$5:$D$24,MATCH(C174,'Staff Master'!$A$5:$A$24,0)),"")</f>
        <v>Reception</v>
      </c>
      <c r="F174" s="16" t="str">
        <f aca="false">IFERROR(INDEX('Staff Master'!$E$5:$E$24,MATCH(C174,'Staff Master'!$A$5:$A$24,0)),"")</f>
        <v>Receptionist</v>
      </c>
      <c r="G174" s="10" t="s">
        <v>87</v>
      </c>
      <c r="H174" s="17" t="n">
        <f aca="false">IFERROR(INDEX('Shift Master'!$C$5:$C$16,MATCH(G174,'Shift Master'!$A$5:$A$16,0)),"")</f>
        <v>0.333333333333333</v>
      </c>
      <c r="I174" s="17" t="n">
        <f aca="false">IFERROR(INDEX('Shift Master'!$D$5:$D$16,MATCH(G174,'Shift Master'!$A$5:$A$16,0)),"")</f>
        <v>0.708333333333333</v>
      </c>
      <c r="J174" s="16" t="n">
        <f aca="false">IFERROR(INDEX('Shift Master'!$E$5:$E$16,MATCH(G174,'Shift Master'!$A$5:$A$16,0)),"")</f>
        <v>60</v>
      </c>
      <c r="K174" s="16" t="n">
        <f aca="false">IFERROR(INDEX('Shift Master'!$G$5:$G$16,MATCH(G174,'Shift Master'!$A$5:$A$16,0)),0)</f>
        <v>8</v>
      </c>
      <c r="L174" s="16" t="s">
        <v>228</v>
      </c>
      <c r="M174" s="16" t="s">
        <v>229</v>
      </c>
      <c r="N174" s="16" t="str">
        <f aca="false">IF(COUNTIFS('Staffing Coverage'!$A$5:$A$12,E174,'Staffing Coverage'!$B$5:$B$12,G174)=0,"",IF(COUNTIFS($A$5:$A$10004,A174,$E$5:$E$10004,E174,$G$5:$G$10004,G174)&lt;INDEX('Staffing Coverage'!$C$5:$C$12,MATCH(1,('Staffing Coverage'!$A$5:$A$12=E174)*('Staffing Coverage'!$B$5:$B$12=G174),0)),"SHORT","OK"))</f>
        <v>SHORT</v>
      </c>
    </row>
    <row r="175" customFormat="false" ht="15" hidden="false" customHeight="false" outlineLevel="0" collapsed="false">
      <c r="A175" s="15" t="n">
        <v>46304</v>
      </c>
      <c r="B175" s="16" t="str">
        <f aca="false">TEXT(A175,"ddd")</f>
        <v>Fri</v>
      </c>
      <c r="C175" s="10" t="s">
        <v>179</v>
      </c>
      <c r="D175" s="16" t="str">
        <f aca="false">IFERROR(INDEX('Staff Master'!$B$5:$B$24,MATCH(C175,'Staff Master'!$A$5:$A$24,0)),"")</f>
        <v>John Dsouza</v>
      </c>
      <c r="E175" s="16" t="str">
        <f aca="false">IFERROR(INDEX('Staff Master'!$D$5:$D$24,MATCH(C175,'Staff Master'!$A$5:$A$24,0)),"")</f>
        <v>Reception</v>
      </c>
      <c r="F175" s="16" t="str">
        <f aca="false">IFERROR(INDEX('Staff Master'!$E$5:$E$24,MATCH(C175,'Staff Master'!$A$5:$A$24,0)),"")</f>
        <v>Receptionist</v>
      </c>
      <c r="G175" s="10" t="s">
        <v>90</v>
      </c>
      <c r="H175" s="17" t="n">
        <f aca="false">IFERROR(INDEX('Shift Master'!$C$5:$C$16,MATCH(G175,'Shift Master'!$A$5:$A$16,0)),"")</f>
        <v>0.375</v>
      </c>
      <c r="I175" s="17" t="n">
        <f aca="false">IFERROR(INDEX('Shift Master'!$D$5:$D$16,MATCH(G175,'Shift Master'!$A$5:$A$16,0)),"")</f>
        <v>0.75</v>
      </c>
      <c r="J175" s="16" t="n">
        <f aca="false">IFERROR(INDEX('Shift Master'!$E$5:$E$16,MATCH(G175,'Shift Master'!$A$5:$A$16,0)),"")</f>
        <v>60</v>
      </c>
      <c r="K175" s="16" t="n">
        <f aca="false">IFERROR(INDEX('Shift Master'!$G$5:$G$16,MATCH(G175,'Shift Master'!$A$5:$A$16,0)),0)</f>
        <v>8</v>
      </c>
      <c r="L175" s="16" t="s">
        <v>228</v>
      </c>
      <c r="M175" s="16" t="s">
        <v>229</v>
      </c>
      <c r="N175" s="16" t="str">
        <f aca="false">IF(COUNTIFS('Staffing Coverage'!$A$5:$A$12,E175,'Staffing Coverage'!$B$5:$B$12,G175)=0,"",IF(COUNTIFS($A$5:$A$10004,A175,$E$5:$E$10004,E175,$G$5:$G$10004,G175)&lt;INDEX('Staffing Coverage'!$C$5:$C$12,MATCH(1,('Staffing Coverage'!$A$5:$A$12=E175)*('Staffing Coverage'!$B$5:$B$12=G175),0)),"SHORT","OK"))</f>
        <v>SHORT</v>
      </c>
    </row>
    <row r="176" customFormat="false" ht="15" hidden="false" customHeight="false" outlineLevel="0" collapsed="false">
      <c r="A176" s="15" t="n">
        <v>46304</v>
      </c>
      <c r="B176" s="16" t="str">
        <f aca="false">TEXT(A176,"ddd")</f>
        <v>Fri</v>
      </c>
      <c r="C176" s="10" t="s">
        <v>184</v>
      </c>
      <c r="D176" s="16" t="str">
        <f aca="false">IFERROR(INDEX('Staff Master'!$B$5:$B$24,MATCH(C176,'Staff Master'!$A$5:$A$24,0)),"")</f>
        <v>Fatima Zahra</v>
      </c>
      <c r="E176" s="16" t="str">
        <f aca="false">IFERROR(INDEX('Staff Master'!$D$5:$D$24,MATCH(C176,'Staff Master'!$A$5:$A$24,0)),"")</f>
        <v>Reception</v>
      </c>
      <c r="F176" s="16" t="str">
        <f aca="false">IFERROR(INDEX('Staff Master'!$E$5:$E$24,MATCH(C176,'Staff Master'!$A$5:$A$24,0)),"")</f>
        <v>Receptionist</v>
      </c>
      <c r="G176" s="10" t="s">
        <v>94</v>
      </c>
      <c r="H176" s="17" t="n">
        <f aca="false">IFERROR(INDEX('Shift Master'!$C$5:$C$16,MATCH(G176,'Shift Master'!$A$5:$A$16,0)),"")</f>
        <v>0.541666666666667</v>
      </c>
      <c r="I176" s="17" t="n">
        <f aca="false">IFERROR(INDEX('Shift Master'!$D$5:$D$16,MATCH(G176,'Shift Master'!$A$5:$A$16,0)),"")</f>
        <v>0.916666666666667</v>
      </c>
      <c r="J176" s="16" t="n">
        <f aca="false">IFERROR(INDEX('Shift Master'!$E$5:$E$16,MATCH(G176,'Shift Master'!$A$5:$A$16,0)),"")</f>
        <v>60</v>
      </c>
      <c r="K176" s="16" t="n">
        <f aca="false">IFERROR(INDEX('Shift Master'!$G$5:$G$16,MATCH(G176,'Shift Master'!$A$5:$A$16,0)),0)</f>
        <v>8</v>
      </c>
      <c r="L176" s="16" t="s">
        <v>228</v>
      </c>
      <c r="M176" s="16" t="s">
        <v>229</v>
      </c>
      <c r="N176" s="16" t="str">
        <f aca="false">IF(COUNTIFS('Staffing Coverage'!$A$5:$A$12,E176,'Staffing Coverage'!$B$5:$B$12,G176)=0,"",IF(COUNTIFS($A$5:$A$10004,A176,$E$5:$E$10004,E176,$G$5:$G$10004,G176)&lt;INDEX('Staffing Coverage'!$C$5:$C$12,MATCH(1,('Staffing Coverage'!$A$5:$A$12=E176)*('Staffing Coverage'!$B$5:$B$12=G176),0)),"SHORT","OK"))</f>
        <v>OK</v>
      </c>
    </row>
    <row r="177" customFormat="false" ht="15" hidden="false" customHeight="false" outlineLevel="0" collapsed="false">
      <c r="A177" s="15" t="n">
        <v>46304</v>
      </c>
      <c r="B177" s="16" t="str">
        <f aca="false">TEXT(A177,"ddd")</f>
        <v>Fri</v>
      </c>
      <c r="C177" s="10" t="s">
        <v>188</v>
      </c>
      <c r="D177" s="16" t="str">
        <f aca="false">IFERROR(INDEX('Staff Master'!$B$5:$B$24,MATCH(C177,'Staff Master'!$A$5:$A$24,0)),"")</f>
        <v>Ana Reyes</v>
      </c>
      <c r="E177" s="16" t="str">
        <f aca="false">IFERROR(INDEX('Staff Master'!$D$5:$D$24,MATCH(C177,'Staff Master'!$A$5:$A$24,0)),"")</f>
        <v>Dental</v>
      </c>
      <c r="F177" s="16" t="str">
        <f aca="false">IFERROR(INDEX('Staff Master'!$E$5:$E$24,MATCH(C177,'Staff Master'!$A$5:$A$24,0)),"")</f>
        <v>Dental Assistant</v>
      </c>
      <c r="G177" s="10" t="s">
        <v>87</v>
      </c>
      <c r="H177" s="17" t="n">
        <f aca="false">IFERROR(INDEX('Shift Master'!$C$5:$C$16,MATCH(G177,'Shift Master'!$A$5:$A$16,0)),"")</f>
        <v>0.333333333333333</v>
      </c>
      <c r="I177" s="17" t="n">
        <f aca="false">IFERROR(INDEX('Shift Master'!$D$5:$D$16,MATCH(G177,'Shift Master'!$A$5:$A$16,0)),"")</f>
        <v>0.708333333333333</v>
      </c>
      <c r="J177" s="16" t="n">
        <f aca="false">IFERROR(INDEX('Shift Master'!$E$5:$E$16,MATCH(G177,'Shift Master'!$A$5:$A$16,0)),"")</f>
        <v>60</v>
      </c>
      <c r="K177" s="16" t="n">
        <f aca="false">IFERROR(INDEX('Shift Master'!$G$5:$G$16,MATCH(G177,'Shift Master'!$A$5:$A$16,0)),0)</f>
        <v>8</v>
      </c>
      <c r="L177" s="16" t="s">
        <v>228</v>
      </c>
      <c r="M177" s="16" t="s">
        <v>229</v>
      </c>
      <c r="N177" s="16" t="str">
        <f aca="false">IF(COUNTIFS('Staffing Coverage'!$A$5:$A$12,E177,'Staffing Coverage'!$B$5:$B$12,G177)=0,"",IF(COUNTIFS($A$5:$A$10004,A177,$E$5:$E$10004,E177,$G$5:$G$10004,G177)&lt;INDEX('Staffing Coverage'!$C$5:$C$12,MATCH(1,('Staffing Coverage'!$A$5:$A$12=E177)*('Staffing Coverage'!$B$5:$B$12=G177),0)),"SHORT","OK"))</f>
        <v>OK</v>
      </c>
    </row>
    <row r="178" customFormat="false" ht="15" hidden="false" customHeight="false" outlineLevel="0" collapsed="false">
      <c r="A178" s="15" t="n">
        <v>46304</v>
      </c>
      <c r="B178" s="16" t="str">
        <f aca="false">TEXT(A178,"ddd")</f>
        <v>Fri</v>
      </c>
      <c r="C178" s="10" t="s">
        <v>192</v>
      </c>
      <c r="D178" s="16" t="str">
        <f aca="false">IFERROR(INDEX('Staff Master'!$B$5:$B$24,MATCH(C178,'Staff Master'!$A$5:$A$24,0)),"")</f>
        <v>Noor Hassan</v>
      </c>
      <c r="E178" s="16" t="str">
        <f aca="false">IFERROR(INDEX('Staff Master'!$D$5:$D$24,MATCH(C178,'Staff Master'!$A$5:$A$24,0)),"")</f>
        <v>Dental</v>
      </c>
      <c r="F178" s="16" t="str">
        <f aca="false">IFERROR(INDEX('Staff Master'!$E$5:$E$24,MATCH(C178,'Staff Master'!$A$5:$A$24,0)),"")</f>
        <v>Dental Assistant</v>
      </c>
      <c r="G178" s="10" t="s">
        <v>90</v>
      </c>
      <c r="H178" s="17" t="n">
        <f aca="false">IFERROR(INDEX('Shift Master'!$C$5:$C$16,MATCH(G178,'Shift Master'!$A$5:$A$16,0)),"")</f>
        <v>0.375</v>
      </c>
      <c r="I178" s="17" t="n">
        <f aca="false">IFERROR(INDEX('Shift Master'!$D$5:$D$16,MATCH(G178,'Shift Master'!$A$5:$A$16,0)),"")</f>
        <v>0.75</v>
      </c>
      <c r="J178" s="16" t="n">
        <f aca="false">IFERROR(INDEX('Shift Master'!$E$5:$E$16,MATCH(G178,'Shift Master'!$A$5:$A$16,0)),"")</f>
        <v>60</v>
      </c>
      <c r="K178" s="16" t="n">
        <f aca="false">IFERROR(INDEX('Shift Master'!$G$5:$G$16,MATCH(G178,'Shift Master'!$A$5:$A$16,0)),0)</f>
        <v>8</v>
      </c>
      <c r="L178" s="16" t="s">
        <v>228</v>
      </c>
      <c r="M178" s="16" t="s">
        <v>229</v>
      </c>
      <c r="N178" s="16" t="str">
        <f aca="false">IF(COUNTIFS('Staffing Coverage'!$A$5:$A$12,E178,'Staffing Coverage'!$B$5:$B$12,G178)=0,"",IF(COUNTIFS($A$5:$A$10004,A178,$E$5:$E$10004,E178,$G$5:$G$10004,G178)&lt;INDEX('Staffing Coverage'!$C$5:$C$12,MATCH(1,('Staffing Coverage'!$A$5:$A$12=E178)*('Staffing Coverage'!$B$5:$B$12=G178),0)),"SHORT","OK"))</f>
        <v/>
      </c>
    </row>
    <row r="179" customFormat="false" ht="15" hidden="false" customHeight="false" outlineLevel="0" collapsed="false">
      <c r="A179" s="15" t="n">
        <v>46304</v>
      </c>
      <c r="B179" s="16" t="str">
        <f aca="false">TEXT(A179,"ddd")</f>
        <v>Fri</v>
      </c>
      <c r="C179" s="10" t="s">
        <v>196</v>
      </c>
      <c r="D179" s="16" t="str">
        <f aca="false">IFERROR(INDEX('Staff Master'!$B$5:$B$24,MATCH(C179,'Staff Master'!$A$5:$A$24,0)),"")</f>
        <v>Karan Mehta</v>
      </c>
      <c r="E179" s="16" t="str">
        <f aca="false">IFERROR(INDEX('Staff Master'!$D$5:$D$24,MATCH(C179,'Staff Master'!$A$5:$A$24,0)),"")</f>
        <v>Laser</v>
      </c>
      <c r="F179" s="16" t="str">
        <f aca="false">IFERROR(INDEX('Staff Master'!$E$5:$E$24,MATCH(C179,'Staff Master'!$A$5:$A$24,0)),"")</f>
        <v>Laser Technician</v>
      </c>
      <c r="G179" s="10" t="s">
        <v>97</v>
      </c>
      <c r="H179" s="17" t="n">
        <f aca="false">IFERROR(INDEX('Shift Master'!$C$5:$C$16,MATCH(G179,'Shift Master'!$A$5:$A$16,0)),"")</f>
        <v>0</v>
      </c>
      <c r="I179" s="17" t="n">
        <f aca="false">IFERROR(INDEX('Shift Master'!$D$5:$D$16,MATCH(G179,'Shift Master'!$A$5:$A$16,0)),"")</f>
        <v>0</v>
      </c>
      <c r="J179" s="16" t="n">
        <f aca="false">IFERROR(INDEX('Shift Master'!$E$5:$E$16,MATCH(G179,'Shift Master'!$A$5:$A$16,0)),"")</f>
        <v>0</v>
      </c>
      <c r="K179" s="16" t="n">
        <f aca="false">IFERROR(INDEX('Shift Master'!$G$5:$G$16,MATCH(G179,'Shift Master'!$A$5:$A$16,0)),0)</f>
        <v>0</v>
      </c>
      <c r="L179" s="16" t="s">
        <v>228</v>
      </c>
      <c r="M179" s="16" t="s">
        <v>229</v>
      </c>
      <c r="N179" s="16" t="str">
        <f aca="false">IF(COUNTIFS('Staffing Coverage'!$A$5:$A$12,E179,'Staffing Coverage'!$B$5:$B$12,G179)=0,"",IF(COUNTIFS($A$5:$A$10004,A179,$E$5:$E$10004,E179,$G$5:$G$10004,G179)&lt;INDEX('Staffing Coverage'!$C$5:$C$12,MATCH(1,('Staffing Coverage'!$A$5:$A$12=E179)*('Staffing Coverage'!$B$5:$B$12=G179),0)),"SHORT","OK"))</f>
        <v/>
      </c>
    </row>
    <row r="180" customFormat="false" ht="15" hidden="false" customHeight="false" outlineLevel="0" collapsed="false">
      <c r="A180" s="15" t="n">
        <v>46304</v>
      </c>
      <c r="B180" s="16" t="str">
        <f aca="false">TEXT(A180,"ddd")</f>
        <v>Fri</v>
      </c>
      <c r="C180" s="10" t="s">
        <v>200</v>
      </c>
      <c r="D180" s="16" t="str">
        <f aca="false">IFERROR(INDEX('Staff Master'!$B$5:$B$24,MATCH(C180,'Staff Master'!$A$5:$A$24,0)),"")</f>
        <v>Imran Sheikh</v>
      </c>
      <c r="E180" s="16" t="str">
        <f aca="false">IFERROR(INDEX('Staff Master'!$D$5:$D$24,MATCH(C180,'Staff Master'!$A$5:$A$24,0)),"")</f>
        <v>Dental Laboratory</v>
      </c>
      <c r="F180" s="16" t="str">
        <f aca="false">IFERROR(INDEX('Staff Master'!$E$5:$E$24,MATCH(C180,'Staff Master'!$A$5:$A$24,0)),"")</f>
        <v>Dental Technician</v>
      </c>
      <c r="G180" s="10" t="s">
        <v>87</v>
      </c>
      <c r="H180" s="17" t="n">
        <f aca="false">IFERROR(INDEX('Shift Master'!$C$5:$C$16,MATCH(G180,'Shift Master'!$A$5:$A$16,0)),"")</f>
        <v>0.333333333333333</v>
      </c>
      <c r="I180" s="17" t="n">
        <f aca="false">IFERROR(INDEX('Shift Master'!$D$5:$D$16,MATCH(G180,'Shift Master'!$A$5:$A$16,0)),"")</f>
        <v>0.708333333333333</v>
      </c>
      <c r="J180" s="16" t="n">
        <f aca="false">IFERROR(INDEX('Shift Master'!$E$5:$E$16,MATCH(G180,'Shift Master'!$A$5:$A$16,0)),"")</f>
        <v>60</v>
      </c>
      <c r="K180" s="16" t="n">
        <f aca="false">IFERROR(INDEX('Shift Master'!$G$5:$G$16,MATCH(G180,'Shift Master'!$A$5:$A$16,0)),0)</f>
        <v>8</v>
      </c>
      <c r="L180" s="16" t="s">
        <v>228</v>
      </c>
      <c r="M180" s="16" t="s">
        <v>229</v>
      </c>
      <c r="N180" s="16" t="str">
        <f aca="false">IF(COUNTIFS('Staffing Coverage'!$A$5:$A$12,E180,'Staffing Coverage'!$B$5:$B$12,G180)=0,"",IF(COUNTIFS($A$5:$A$10004,A180,$E$5:$E$10004,E180,$G$5:$G$10004,G180)&lt;INDEX('Staffing Coverage'!$C$5:$C$12,MATCH(1,('Staffing Coverage'!$A$5:$A$12=E180)*('Staffing Coverage'!$B$5:$B$12=G180),0)),"SHORT","OK"))</f>
        <v/>
      </c>
    </row>
    <row r="181" customFormat="false" ht="15" hidden="false" customHeight="false" outlineLevel="0" collapsed="false">
      <c r="A181" s="15" t="n">
        <v>46304</v>
      </c>
      <c r="B181" s="16" t="str">
        <f aca="false">TEXT(A181,"ddd")</f>
        <v>Fri</v>
      </c>
      <c r="C181" s="10" t="s">
        <v>204</v>
      </c>
      <c r="D181" s="16" t="str">
        <f aca="false">IFERROR(INDEX('Staff Master'!$B$5:$B$24,MATCH(C181,'Staff Master'!$A$5:$A$24,0)),"")</f>
        <v>Josephine Cruz</v>
      </c>
      <c r="E181" s="16" t="str">
        <f aca="false">IFERROR(INDEX('Staff Master'!$D$5:$D$24,MATCH(C181,'Staff Master'!$A$5:$A$24,0)),"")</f>
        <v>CSSD</v>
      </c>
      <c r="F181" s="16" t="str">
        <f aca="false">IFERROR(INDEX('Staff Master'!$E$5:$E$24,MATCH(C181,'Staff Master'!$A$5:$A$24,0)),"")</f>
        <v>CSSD Technician</v>
      </c>
      <c r="G181" s="10" t="s">
        <v>87</v>
      </c>
      <c r="H181" s="17" t="n">
        <f aca="false">IFERROR(INDEX('Shift Master'!$C$5:$C$16,MATCH(G181,'Shift Master'!$A$5:$A$16,0)),"")</f>
        <v>0.333333333333333</v>
      </c>
      <c r="I181" s="17" t="n">
        <f aca="false">IFERROR(INDEX('Shift Master'!$D$5:$D$16,MATCH(G181,'Shift Master'!$A$5:$A$16,0)),"")</f>
        <v>0.708333333333333</v>
      </c>
      <c r="J181" s="16" t="n">
        <f aca="false">IFERROR(INDEX('Shift Master'!$E$5:$E$16,MATCH(G181,'Shift Master'!$A$5:$A$16,0)),"")</f>
        <v>60</v>
      </c>
      <c r="K181" s="16" t="n">
        <f aca="false">IFERROR(INDEX('Shift Master'!$G$5:$G$16,MATCH(G181,'Shift Master'!$A$5:$A$16,0)),0)</f>
        <v>8</v>
      </c>
      <c r="L181" s="16" t="s">
        <v>228</v>
      </c>
      <c r="M181" s="16" t="s">
        <v>229</v>
      </c>
      <c r="N181" s="16" t="str">
        <f aca="false">IF(COUNTIFS('Staffing Coverage'!$A$5:$A$12,E181,'Staffing Coverage'!$B$5:$B$12,G181)=0,"",IF(COUNTIFS($A$5:$A$10004,A181,$E$5:$E$10004,E181,$G$5:$G$10004,G181)&lt;INDEX('Staffing Coverage'!$C$5:$C$12,MATCH(1,('Staffing Coverage'!$A$5:$A$12=E181)*('Staffing Coverage'!$B$5:$B$12=G181),0)),"SHORT","OK"))</f>
        <v>OK</v>
      </c>
    </row>
    <row r="182" customFormat="false" ht="15" hidden="false" customHeight="false" outlineLevel="0" collapsed="false">
      <c r="A182" s="15" t="n">
        <v>46304</v>
      </c>
      <c r="B182" s="16" t="str">
        <f aca="false">TEXT(A182,"ddd")</f>
        <v>Fri</v>
      </c>
      <c r="C182" s="10" t="s">
        <v>208</v>
      </c>
      <c r="D182" s="16" t="str">
        <f aca="false">IFERROR(INDEX('Staff Master'!$B$5:$B$24,MATCH(C182,'Staff Master'!$A$5:$A$24,0)),"")</f>
        <v>Rosalyn Tan</v>
      </c>
      <c r="E182" s="16" t="str">
        <f aca="false">IFERROR(INDEX('Staff Master'!$D$5:$D$24,MATCH(C182,'Staff Master'!$A$5:$A$24,0)),"")</f>
        <v>Cleaning</v>
      </c>
      <c r="F182" s="16" t="str">
        <f aca="false">IFERROR(INDEX('Staff Master'!$E$5:$E$24,MATCH(C182,'Staff Master'!$A$5:$A$24,0)),"")</f>
        <v>Cleaner</v>
      </c>
      <c r="G182" s="10" t="s">
        <v>87</v>
      </c>
      <c r="H182" s="17" t="n">
        <f aca="false">IFERROR(INDEX('Shift Master'!$C$5:$C$16,MATCH(G182,'Shift Master'!$A$5:$A$16,0)),"")</f>
        <v>0.333333333333333</v>
      </c>
      <c r="I182" s="17" t="n">
        <f aca="false">IFERROR(INDEX('Shift Master'!$D$5:$D$16,MATCH(G182,'Shift Master'!$A$5:$A$16,0)),"")</f>
        <v>0.708333333333333</v>
      </c>
      <c r="J182" s="16" t="n">
        <f aca="false">IFERROR(INDEX('Shift Master'!$E$5:$E$16,MATCH(G182,'Shift Master'!$A$5:$A$16,0)),"")</f>
        <v>60</v>
      </c>
      <c r="K182" s="16" t="n">
        <f aca="false">IFERROR(INDEX('Shift Master'!$G$5:$G$16,MATCH(G182,'Shift Master'!$A$5:$A$16,0)),0)</f>
        <v>8</v>
      </c>
      <c r="L182" s="16" t="s">
        <v>228</v>
      </c>
      <c r="M182" s="16" t="s">
        <v>229</v>
      </c>
      <c r="N182" s="16" t="str">
        <f aca="false">IF(COUNTIFS('Staffing Coverage'!$A$5:$A$12,E182,'Staffing Coverage'!$B$5:$B$12,G182)=0,"",IF(COUNTIFS($A$5:$A$10004,A182,$E$5:$E$10004,E182,$G$5:$G$10004,G182)&lt;INDEX('Staffing Coverage'!$C$5:$C$12,MATCH(1,('Staffing Coverage'!$A$5:$A$12=E182)*('Staffing Coverage'!$B$5:$B$12=G182),0)),"SHORT","OK"))</f>
        <v>OK</v>
      </c>
    </row>
    <row r="183" customFormat="false" ht="15" hidden="false" customHeight="false" outlineLevel="0" collapsed="false">
      <c r="A183" s="15" t="n">
        <v>46304</v>
      </c>
      <c r="B183" s="16" t="str">
        <f aca="false">TEXT(A183,"ddd")</f>
        <v>Fri</v>
      </c>
      <c r="C183" s="10" t="s">
        <v>212</v>
      </c>
      <c r="D183" s="16" t="str">
        <f aca="false">IFERROR(INDEX('Staff Master'!$B$5:$B$24,MATCH(C183,'Staff Master'!$A$5:$A$24,0)),"")</f>
        <v>Hassan Baig</v>
      </c>
      <c r="E183" s="16" t="str">
        <f aca="false">IFERROR(INDEX('Staff Master'!$D$5:$D$24,MATCH(C183,'Staff Master'!$A$5:$A$24,0)),"")</f>
        <v>Facilities</v>
      </c>
      <c r="F183" s="16" t="str">
        <f aca="false">IFERROR(INDEX('Staff Master'!$E$5:$E$24,MATCH(C183,'Staff Master'!$A$5:$A$24,0)),"")</f>
        <v>Facility Manager</v>
      </c>
      <c r="G183" s="10" t="s">
        <v>97</v>
      </c>
      <c r="H183" s="17" t="n">
        <f aca="false">IFERROR(INDEX('Shift Master'!$C$5:$C$16,MATCH(G183,'Shift Master'!$A$5:$A$16,0)),"")</f>
        <v>0</v>
      </c>
      <c r="I183" s="17" t="n">
        <f aca="false">IFERROR(INDEX('Shift Master'!$D$5:$D$16,MATCH(G183,'Shift Master'!$A$5:$A$16,0)),"")</f>
        <v>0</v>
      </c>
      <c r="J183" s="16" t="n">
        <f aca="false">IFERROR(INDEX('Shift Master'!$E$5:$E$16,MATCH(G183,'Shift Master'!$A$5:$A$16,0)),"")</f>
        <v>0</v>
      </c>
      <c r="K183" s="16" t="n">
        <f aca="false">IFERROR(INDEX('Shift Master'!$G$5:$G$16,MATCH(G183,'Shift Master'!$A$5:$A$16,0)),0)</f>
        <v>0</v>
      </c>
      <c r="L183" s="16" t="s">
        <v>228</v>
      </c>
      <c r="M183" s="16" t="s">
        <v>229</v>
      </c>
      <c r="N183" s="16" t="str">
        <f aca="false">IF(COUNTIFS('Staffing Coverage'!$A$5:$A$12,E183,'Staffing Coverage'!$B$5:$B$12,G183)=0,"",IF(COUNTIFS($A$5:$A$10004,A183,$E$5:$E$10004,E183,$G$5:$G$10004,G183)&lt;INDEX('Staffing Coverage'!$C$5:$C$12,MATCH(1,('Staffing Coverage'!$A$5:$A$12=E183)*('Staffing Coverage'!$B$5:$B$12=G183),0)),"SHORT","OK"))</f>
        <v/>
      </c>
    </row>
    <row r="184" customFormat="false" ht="15" hidden="false" customHeight="false" outlineLevel="0" collapsed="false">
      <c r="A184" s="15" t="n">
        <v>46304</v>
      </c>
      <c r="B184" s="16" t="str">
        <f aca="false">TEXT(A184,"ddd")</f>
        <v>Fri</v>
      </c>
      <c r="C184" s="10" t="s">
        <v>178</v>
      </c>
      <c r="D184" s="16" t="str">
        <f aca="false">IFERROR(INDEX('Staff Master'!$B$5:$B$24,MATCH(C184,'Staff Master'!$A$5:$A$24,0)),"")</f>
        <v>Meera Pillai</v>
      </c>
      <c r="E184" s="16" t="str">
        <f aca="false">IFERROR(INDEX('Staff Master'!$D$5:$D$24,MATCH(C184,'Staff Master'!$A$5:$A$24,0)),"")</f>
        <v>HR</v>
      </c>
      <c r="F184" s="16" t="str">
        <f aca="false">IFERROR(INDEX('Staff Master'!$E$5:$E$24,MATCH(C184,'Staff Master'!$A$5:$A$24,0)),"")</f>
        <v>HR Executive</v>
      </c>
      <c r="G184" s="10" t="s">
        <v>90</v>
      </c>
      <c r="H184" s="17" t="n">
        <f aca="false">IFERROR(INDEX('Shift Master'!$C$5:$C$16,MATCH(G184,'Shift Master'!$A$5:$A$16,0)),"")</f>
        <v>0.375</v>
      </c>
      <c r="I184" s="17" t="n">
        <f aca="false">IFERROR(INDEX('Shift Master'!$D$5:$D$16,MATCH(G184,'Shift Master'!$A$5:$A$16,0)),"")</f>
        <v>0.75</v>
      </c>
      <c r="J184" s="16" t="n">
        <f aca="false">IFERROR(INDEX('Shift Master'!$E$5:$E$16,MATCH(G184,'Shift Master'!$A$5:$A$16,0)),"")</f>
        <v>60</v>
      </c>
      <c r="K184" s="16" t="n">
        <f aca="false">IFERROR(INDEX('Shift Master'!$G$5:$G$16,MATCH(G184,'Shift Master'!$A$5:$A$16,0)),0)</f>
        <v>8</v>
      </c>
      <c r="L184" s="16" t="s">
        <v>228</v>
      </c>
      <c r="M184" s="16" t="s">
        <v>229</v>
      </c>
      <c r="N184" s="16" t="str">
        <f aca="false">IF(COUNTIFS('Staffing Coverage'!$A$5:$A$12,E184,'Staffing Coverage'!$B$5:$B$12,G184)=0,"",IF(COUNTIFS($A$5:$A$10004,A184,$E$5:$E$10004,E184,$G$5:$G$10004,G184)&lt;INDEX('Staffing Coverage'!$C$5:$C$12,MATCH(1,('Staffing Coverage'!$A$5:$A$12=E184)*('Staffing Coverage'!$B$5:$B$12=G184),0)),"SHORT","OK"))</f>
        <v/>
      </c>
    </row>
    <row r="185" customFormat="false" ht="15" hidden="false" customHeight="false" outlineLevel="0" collapsed="false">
      <c r="A185" s="15" t="n">
        <v>46305</v>
      </c>
      <c r="B185" s="16" t="str">
        <f aca="false">TEXT(A185,"ddd")</f>
        <v>Sat</v>
      </c>
      <c r="C185" s="10" t="s">
        <v>128</v>
      </c>
      <c r="D185" s="16" t="str">
        <f aca="false">IFERROR(INDEX('Staff Master'!$B$5:$B$24,MATCH(C185,'Staff Master'!$A$5:$A$24,0)),"")</f>
        <v>Rashid Al Nuaimi</v>
      </c>
      <c r="E185" s="16" t="str">
        <f aca="false">IFERROR(INDEX('Staff Master'!$D$5:$D$24,MATCH(C185,'Staff Master'!$A$5:$A$24,0)),"")</f>
        <v>Management</v>
      </c>
      <c r="F185" s="16" t="str">
        <f aca="false">IFERROR(INDEX('Staff Master'!$E$5:$E$24,MATCH(C185,'Staff Master'!$A$5:$A$24,0)),"")</f>
        <v>CEO</v>
      </c>
      <c r="G185" s="10" t="s">
        <v>97</v>
      </c>
      <c r="H185" s="17" t="n">
        <f aca="false">IFERROR(INDEX('Shift Master'!$C$5:$C$16,MATCH(G185,'Shift Master'!$A$5:$A$16,0)),"")</f>
        <v>0</v>
      </c>
      <c r="I185" s="17" t="n">
        <f aca="false">IFERROR(INDEX('Shift Master'!$D$5:$D$16,MATCH(G185,'Shift Master'!$A$5:$A$16,0)),"")</f>
        <v>0</v>
      </c>
      <c r="J185" s="16" t="n">
        <f aca="false">IFERROR(INDEX('Shift Master'!$E$5:$E$16,MATCH(G185,'Shift Master'!$A$5:$A$16,0)),"")</f>
        <v>0</v>
      </c>
      <c r="K185" s="16" t="n">
        <f aca="false">IFERROR(INDEX('Shift Master'!$G$5:$G$16,MATCH(G185,'Shift Master'!$A$5:$A$16,0)),0)</f>
        <v>0</v>
      </c>
      <c r="L185" s="16" t="s">
        <v>228</v>
      </c>
      <c r="M185" s="16" t="s">
        <v>229</v>
      </c>
      <c r="N185" s="16" t="str">
        <f aca="false">IF(COUNTIFS('Staffing Coverage'!$A$5:$A$12,E185,'Staffing Coverage'!$B$5:$B$12,G185)=0,"",IF(COUNTIFS($A$5:$A$10004,A185,$E$5:$E$10004,E185,$G$5:$G$10004,G185)&lt;INDEX('Staffing Coverage'!$C$5:$C$12,MATCH(1,('Staffing Coverage'!$A$5:$A$12=E185)*('Staffing Coverage'!$B$5:$B$12=G185),0)),"SHORT","OK"))</f>
        <v/>
      </c>
    </row>
    <row r="186" customFormat="false" ht="15" hidden="false" customHeight="false" outlineLevel="0" collapsed="false">
      <c r="A186" s="15" t="n">
        <v>46305</v>
      </c>
      <c r="B186" s="16" t="str">
        <f aca="false">TEXT(A186,"ddd")</f>
        <v>Sat</v>
      </c>
      <c r="C186" s="10" t="s">
        <v>137</v>
      </c>
      <c r="D186" s="16" t="str">
        <f aca="false">IFERROR(INDEX('Staff Master'!$B$5:$B$24,MATCH(C186,'Staff Master'!$A$5:$A$24,0)),"")</f>
        <v>Dr. Sara Haddad</v>
      </c>
      <c r="E186" s="16" t="str">
        <f aca="false">IFERROR(INDEX('Staff Master'!$D$5:$D$24,MATCH(C186,'Staff Master'!$A$5:$A$24,0)),"")</f>
        <v>General Practice</v>
      </c>
      <c r="F186" s="16" t="str">
        <f aca="false">IFERROR(INDEX('Staff Master'!$E$5:$E$24,MATCH(C186,'Staff Master'!$A$5:$A$24,0)),"")</f>
        <v>Medical Director</v>
      </c>
      <c r="G186" s="10" t="s">
        <v>96</v>
      </c>
      <c r="H186" s="17" t="n">
        <f aca="false">IFERROR(INDEX('Shift Master'!$C$5:$C$16,MATCH(G186,'Shift Master'!$A$5:$A$16,0)),"")</f>
        <v>0.375</v>
      </c>
      <c r="I186" s="17" t="n">
        <f aca="false">IFERROR(INDEX('Shift Master'!$D$5:$D$16,MATCH(G186,'Shift Master'!$A$5:$A$16,0)),"")</f>
        <v>0.708333333333333</v>
      </c>
      <c r="J186" s="16" t="n">
        <f aca="false">IFERROR(INDEX('Shift Master'!$E$5:$E$16,MATCH(G186,'Shift Master'!$A$5:$A$16,0)),"")</f>
        <v>60</v>
      </c>
      <c r="K186" s="16" t="n">
        <f aca="false">IFERROR(INDEX('Shift Master'!$G$5:$G$16,MATCH(G186,'Shift Master'!$A$5:$A$16,0)),0)</f>
        <v>7</v>
      </c>
      <c r="L186" s="16" t="s">
        <v>228</v>
      </c>
      <c r="M186" s="16" t="s">
        <v>229</v>
      </c>
      <c r="N186" s="16" t="str">
        <f aca="false">IF(COUNTIFS('Staffing Coverage'!$A$5:$A$12,E186,'Staffing Coverage'!$B$5:$B$12,G186)=0,"",IF(COUNTIFS($A$5:$A$10004,A186,$E$5:$E$10004,E186,$G$5:$G$10004,G186)&lt;INDEX('Staffing Coverage'!$C$5:$C$12,MATCH(1,('Staffing Coverage'!$A$5:$A$12=E186)*('Staffing Coverage'!$B$5:$B$12=G186),0)),"SHORT","OK"))</f>
        <v/>
      </c>
    </row>
    <row r="187" customFormat="false" ht="15" hidden="false" customHeight="false" outlineLevel="0" collapsed="false">
      <c r="A187" s="15" t="n">
        <v>46305</v>
      </c>
      <c r="B187" s="16" t="str">
        <f aca="false">TEXT(A187,"ddd")</f>
        <v>Sat</v>
      </c>
      <c r="C187" s="10" t="s">
        <v>142</v>
      </c>
      <c r="D187" s="16" t="str">
        <f aca="false">IFERROR(INDEX('Staff Master'!$B$5:$B$24,MATCH(C187,'Staff Master'!$A$5:$A$24,0)),"")</f>
        <v>Dr. Omar Khalil</v>
      </c>
      <c r="E187" s="16" t="str">
        <f aca="false">IFERROR(INDEX('Staff Master'!$D$5:$D$24,MATCH(C187,'Staff Master'!$A$5:$A$24,0)),"")</f>
        <v>General Practice</v>
      </c>
      <c r="F187" s="16" t="str">
        <f aca="false">IFERROR(INDEX('Staff Master'!$E$5:$E$24,MATCH(C187,'Staff Master'!$A$5:$A$24,0)),"")</f>
        <v>Doctor</v>
      </c>
      <c r="G187" s="10" t="s">
        <v>97</v>
      </c>
      <c r="H187" s="17" t="n">
        <f aca="false">IFERROR(INDEX('Shift Master'!$C$5:$C$16,MATCH(G187,'Shift Master'!$A$5:$A$16,0)),"")</f>
        <v>0</v>
      </c>
      <c r="I187" s="17" t="n">
        <f aca="false">IFERROR(INDEX('Shift Master'!$D$5:$D$16,MATCH(G187,'Shift Master'!$A$5:$A$16,0)),"")</f>
        <v>0</v>
      </c>
      <c r="J187" s="16" t="n">
        <f aca="false">IFERROR(INDEX('Shift Master'!$E$5:$E$16,MATCH(G187,'Shift Master'!$A$5:$A$16,0)),"")</f>
        <v>0</v>
      </c>
      <c r="K187" s="16" t="n">
        <f aca="false">IFERROR(INDEX('Shift Master'!$G$5:$G$16,MATCH(G187,'Shift Master'!$A$5:$A$16,0)),0)</f>
        <v>0</v>
      </c>
      <c r="L187" s="16" t="s">
        <v>228</v>
      </c>
      <c r="M187" s="16" t="s">
        <v>229</v>
      </c>
      <c r="N187" s="16" t="str">
        <f aca="false">IF(COUNTIFS('Staffing Coverage'!$A$5:$A$12,E187,'Staffing Coverage'!$B$5:$B$12,G187)=0,"",IF(COUNTIFS($A$5:$A$10004,A187,$E$5:$E$10004,E187,$G$5:$G$10004,G187)&lt;INDEX('Staffing Coverage'!$C$5:$C$12,MATCH(1,('Staffing Coverage'!$A$5:$A$12=E187)*('Staffing Coverage'!$B$5:$B$12=G187),0)),"SHORT","OK"))</f>
        <v/>
      </c>
    </row>
    <row r="188" customFormat="false" ht="15" hidden="false" customHeight="false" outlineLevel="0" collapsed="false">
      <c r="A188" s="15" t="n">
        <v>46305</v>
      </c>
      <c r="B188" s="16" t="str">
        <f aca="false">TEXT(A188,"ddd")</f>
        <v>Sat</v>
      </c>
      <c r="C188" s="10" t="s">
        <v>146</v>
      </c>
      <c r="D188" s="16" t="str">
        <f aca="false">IFERROR(INDEX('Staff Master'!$B$5:$B$24,MATCH(C188,'Staff Master'!$A$5:$A$24,0)),"")</f>
        <v>Dr. Lina Abboud</v>
      </c>
      <c r="E188" s="16" t="str">
        <f aca="false">IFERROR(INDEX('Staff Master'!$D$5:$D$24,MATCH(C188,'Staff Master'!$A$5:$A$24,0)),"")</f>
        <v>Dental</v>
      </c>
      <c r="F188" s="16" t="str">
        <f aca="false">IFERROR(INDEX('Staff Master'!$E$5:$E$24,MATCH(C188,'Staff Master'!$A$5:$A$24,0)),"")</f>
        <v>Dentist</v>
      </c>
      <c r="G188" s="10" t="s">
        <v>96</v>
      </c>
      <c r="H188" s="17" t="n">
        <f aca="false">IFERROR(INDEX('Shift Master'!$C$5:$C$16,MATCH(G188,'Shift Master'!$A$5:$A$16,0)),"")</f>
        <v>0.375</v>
      </c>
      <c r="I188" s="17" t="n">
        <f aca="false">IFERROR(INDEX('Shift Master'!$D$5:$D$16,MATCH(G188,'Shift Master'!$A$5:$A$16,0)),"")</f>
        <v>0.708333333333333</v>
      </c>
      <c r="J188" s="16" t="n">
        <f aca="false">IFERROR(INDEX('Shift Master'!$E$5:$E$16,MATCH(G188,'Shift Master'!$A$5:$A$16,0)),"")</f>
        <v>60</v>
      </c>
      <c r="K188" s="16" t="n">
        <f aca="false">IFERROR(INDEX('Shift Master'!$G$5:$G$16,MATCH(G188,'Shift Master'!$A$5:$A$16,0)),0)</f>
        <v>7</v>
      </c>
      <c r="L188" s="16" t="s">
        <v>228</v>
      </c>
      <c r="M188" s="16" t="s">
        <v>229</v>
      </c>
      <c r="N188" s="16" t="str">
        <f aca="false">IF(COUNTIFS('Staffing Coverage'!$A$5:$A$12,E188,'Staffing Coverage'!$B$5:$B$12,G188)=0,"",IF(COUNTIFS($A$5:$A$10004,A188,$E$5:$E$10004,E188,$G$5:$G$10004,G188)&lt;INDEX('Staffing Coverage'!$C$5:$C$12,MATCH(1,('Staffing Coverage'!$A$5:$A$12=E188)*('Staffing Coverage'!$B$5:$B$12=G188),0)),"SHORT","OK"))</f>
        <v/>
      </c>
    </row>
    <row r="189" customFormat="false" ht="15" hidden="false" customHeight="false" outlineLevel="0" collapsed="false">
      <c r="A189" s="15" t="n">
        <v>46305</v>
      </c>
      <c r="B189" s="16" t="str">
        <f aca="false">TEXT(A189,"ddd")</f>
        <v>Sat</v>
      </c>
      <c r="C189" s="10" t="s">
        <v>150</v>
      </c>
      <c r="D189" s="16" t="str">
        <f aca="false">IFERROR(INDEX('Staff Master'!$B$5:$B$24,MATCH(C189,'Staff Master'!$A$5:$A$24,0)),"")</f>
        <v>Dr. Farah Idris</v>
      </c>
      <c r="E189" s="16" t="str">
        <f aca="false">IFERROR(INDEX('Staff Master'!$D$5:$D$24,MATCH(C189,'Staff Master'!$A$5:$A$24,0)),"")</f>
        <v>Dental</v>
      </c>
      <c r="F189" s="16" t="str">
        <f aca="false">IFERROR(INDEX('Staff Master'!$E$5:$E$24,MATCH(C189,'Staff Master'!$A$5:$A$24,0)),"")</f>
        <v>Dentist</v>
      </c>
      <c r="G189" s="10" t="s">
        <v>96</v>
      </c>
      <c r="H189" s="17" t="n">
        <f aca="false">IFERROR(INDEX('Shift Master'!$C$5:$C$16,MATCH(G189,'Shift Master'!$A$5:$A$16,0)),"")</f>
        <v>0.375</v>
      </c>
      <c r="I189" s="17" t="n">
        <f aca="false">IFERROR(INDEX('Shift Master'!$D$5:$D$16,MATCH(G189,'Shift Master'!$A$5:$A$16,0)),"")</f>
        <v>0.708333333333333</v>
      </c>
      <c r="J189" s="16" t="n">
        <f aca="false">IFERROR(INDEX('Shift Master'!$E$5:$E$16,MATCH(G189,'Shift Master'!$A$5:$A$16,0)),"")</f>
        <v>60</v>
      </c>
      <c r="K189" s="16" t="n">
        <f aca="false">IFERROR(INDEX('Shift Master'!$G$5:$G$16,MATCH(G189,'Shift Master'!$A$5:$A$16,0)),0)</f>
        <v>7</v>
      </c>
      <c r="L189" s="16" t="s">
        <v>228</v>
      </c>
      <c r="M189" s="16" t="s">
        <v>229</v>
      </c>
      <c r="N189" s="16" t="str">
        <f aca="false">IF(COUNTIFS('Staffing Coverage'!$A$5:$A$12,E189,'Staffing Coverage'!$B$5:$B$12,G189)=0,"",IF(COUNTIFS($A$5:$A$10004,A189,$E$5:$E$10004,E189,$G$5:$G$10004,G189)&lt;INDEX('Staffing Coverage'!$C$5:$C$12,MATCH(1,('Staffing Coverage'!$A$5:$A$12=E189)*('Staffing Coverage'!$B$5:$B$12=G189),0)),"SHORT","OK"))</f>
        <v/>
      </c>
    </row>
    <row r="190" customFormat="false" ht="15" hidden="false" customHeight="false" outlineLevel="0" collapsed="false">
      <c r="A190" s="15" t="n">
        <v>46305</v>
      </c>
      <c r="B190" s="16" t="str">
        <f aca="false">TEXT(A190,"ddd")</f>
        <v>Sat</v>
      </c>
      <c r="C190" s="10" t="s">
        <v>157</v>
      </c>
      <c r="D190" s="16" t="str">
        <f aca="false">IFERROR(INDEX('Staff Master'!$B$5:$B$24,MATCH(C190,'Staff Master'!$A$5:$A$24,0)),"")</f>
        <v>Dr. Youssef Nassar</v>
      </c>
      <c r="E190" s="16" t="str">
        <f aca="false">IFERROR(INDEX('Staff Master'!$D$5:$D$24,MATCH(C190,'Staff Master'!$A$5:$A$24,0)),"")</f>
        <v>General Practice</v>
      </c>
      <c r="F190" s="16" t="str">
        <f aca="false">IFERROR(INDEX('Staff Master'!$E$5:$E$24,MATCH(C190,'Staff Master'!$A$5:$A$24,0)),"")</f>
        <v>General Practitioner</v>
      </c>
      <c r="G190" s="10" t="s">
        <v>97</v>
      </c>
      <c r="H190" s="17" t="n">
        <f aca="false">IFERROR(INDEX('Shift Master'!$C$5:$C$16,MATCH(G190,'Shift Master'!$A$5:$A$16,0)),"")</f>
        <v>0</v>
      </c>
      <c r="I190" s="17" t="n">
        <f aca="false">IFERROR(INDEX('Shift Master'!$D$5:$D$16,MATCH(G190,'Shift Master'!$A$5:$A$16,0)),"")</f>
        <v>0</v>
      </c>
      <c r="J190" s="16" t="n">
        <f aca="false">IFERROR(INDEX('Shift Master'!$E$5:$E$16,MATCH(G190,'Shift Master'!$A$5:$A$16,0)),"")</f>
        <v>0</v>
      </c>
      <c r="K190" s="16" t="n">
        <f aca="false">IFERROR(INDEX('Shift Master'!$G$5:$G$16,MATCH(G190,'Shift Master'!$A$5:$A$16,0)),0)</f>
        <v>0</v>
      </c>
      <c r="L190" s="16" t="s">
        <v>228</v>
      </c>
      <c r="M190" s="16" t="s">
        <v>229</v>
      </c>
      <c r="N190" s="16" t="str">
        <f aca="false">IF(COUNTIFS('Staffing Coverage'!$A$5:$A$12,E190,'Staffing Coverage'!$B$5:$B$12,G190)=0,"",IF(COUNTIFS($A$5:$A$10004,A190,$E$5:$E$10004,E190,$G$5:$G$10004,G190)&lt;INDEX('Staffing Coverage'!$C$5:$C$12,MATCH(1,('Staffing Coverage'!$A$5:$A$12=E190)*('Staffing Coverage'!$B$5:$B$12=G190),0)),"SHORT","OK"))</f>
        <v/>
      </c>
    </row>
    <row r="191" customFormat="false" ht="15" hidden="false" customHeight="false" outlineLevel="0" collapsed="false">
      <c r="A191" s="15" t="n">
        <v>46305</v>
      </c>
      <c r="B191" s="16" t="str">
        <f aca="false">TEXT(A191,"ddd")</f>
        <v>Sat</v>
      </c>
      <c r="C191" s="10" t="s">
        <v>161</v>
      </c>
      <c r="D191" s="16" t="str">
        <f aca="false">IFERROR(INDEX('Staff Master'!$B$5:$B$24,MATCH(C191,'Staff Master'!$A$5:$A$24,0)),"")</f>
        <v>Grace Fernandez</v>
      </c>
      <c r="E191" s="16" t="str">
        <f aca="false">IFERROR(INDEX('Staff Master'!$D$5:$D$24,MATCH(C191,'Staff Master'!$A$5:$A$24,0)),"")</f>
        <v>Nursing</v>
      </c>
      <c r="F191" s="16" t="str">
        <f aca="false">IFERROR(INDEX('Staff Master'!$E$5:$E$24,MATCH(C191,'Staff Master'!$A$5:$A$24,0)),"")</f>
        <v>Nurse</v>
      </c>
      <c r="G191" s="10" t="s">
        <v>87</v>
      </c>
      <c r="H191" s="17" t="n">
        <f aca="false">IFERROR(INDEX('Shift Master'!$C$5:$C$16,MATCH(G191,'Shift Master'!$A$5:$A$16,0)),"")</f>
        <v>0.333333333333333</v>
      </c>
      <c r="I191" s="17" t="n">
        <f aca="false">IFERROR(INDEX('Shift Master'!$D$5:$D$16,MATCH(G191,'Shift Master'!$A$5:$A$16,0)),"")</f>
        <v>0.708333333333333</v>
      </c>
      <c r="J191" s="16" t="n">
        <f aca="false">IFERROR(INDEX('Shift Master'!$E$5:$E$16,MATCH(G191,'Shift Master'!$A$5:$A$16,0)),"")</f>
        <v>60</v>
      </c>
      <c r="K191" s="16" t="n">
        <f aca="false">IFERROR(INDEX('Shift Master'!$G$5:$G$16,MATCH(G191,'Shift Master'!$A$5:$A$16,0)),0)</f>
        <v>8</v>
      </c>
      <c r="L191" s="16" t="s">
        <v>228</v>
      </c>
      <c r="M191" s="16" t="s">
        <v>229</v>
      </c>
      <c r="N191" s="16" t="str">
        <f aca="false">IF(COUNTIFS('Staffing Coverage'!$A$5:$A$12,E191,'Staffing Coverage'!$B$5:$B$12,G191)=0,"",IF(COUNTIFS($A$5:$A$10004,A191,$E$5:$E$10004,E191,$G$5:$G$10004,G191)&lt;INDEX('Staffing Coverage'!$C$5:$C$12,MATCH(1,('Staffing Coverage'!$A$5:$A$12=E191)*('Staffing Coverage'!$B$5:$B$12=G191),0)),"SHORT","OK"))</f>
        <v>OK</v>
      </c>
    </row>
    <row r="192" customFormat="false" ht="15" hidden="false" customHeight="false" outlineLevel="0" collapsed="false">
      <c r="A192" s="15" t="n">
        <v>46305</v>
      </c>
      <c r="B192" s="16" t="str">
        <f aca="false">TEXT(A192,"ddd")</f>
        <v>Sat</v>
      </c>
      <c r="C192" s="10" t="s">
        <v>165</v>
      </c>
      <c r="D192" s="16" t="str">
        <f aca="false">IFERROR(INDEX('Staff Master'!$B$5:$B$24,MATCH(C192,'Staff Master'!$A$5:$A$24,0)),"")</f>
        <v>Priya Nair</v>
      </c>
      <c r="E192" s="16" t="str">
        <f aca="false">IFERROR(INDEX('Staff Master'!$D$5:$D$24,MATCH(C192,'Staff Master'!$A$5:$A$24,0)),"")</f>
        <v>Nursing</v>
      </c>
      <c r="F192" s="16" t="str">
        <f aca="false">IFERROR(INDEX('Staff Master'!$E$5:$E$24,MATCH(C192,'Staff Master'!$A$5:$A$24,0)),"")</f>
        <v>Nurse</v>
      </c>
      <c r="G192" s="10" t="s">
        <v>100</v>
      </c>
      <c r="H192" s="17" t="n">
        <f aca="false">IFERROR(INDEX('Shift Master'!$C$5:$C$16,MATCH(G192,'Shift Master'!$A$5:$A$16,0)),"")</f>
        <v>0</v>
      </c>
      <c r="I192" s="17" t="n">
        <f aca="false">IFERROR(INDEX('Shift Master'!$D$5:$D$16,MATCH(G192,'Shift Master'!$A$5:$A$16,0)),"")</f>
        <v>0</v>
      </c>
      <c r="J192" s="16" t="n">
        <f aca="false">IFERROR(INDEX('Shift Master'!$E$5:$E$16,MATCH(G192,'Shift Master'!$A$5:$A$16,0)),"")</f>
        <v>0</v>
      </c>
      <c r="K192" s="16" t="n">
        <f aca="false">IFERROR(INDEX('Shift Master'!$G$5:$G$16,MATCH(G192,'Shift Master'!$A$5:$A$16,0)),0)</f>
        <v>0</v>
      </c>
      <c r="L192" s="16" t="s">
        <v>228</v>
      </c>
      <c r="M192" s="16" t="s">
        <v>229</v>
      </c>
      <c r="N192" s="16" t="str">
        <f aca="false">IF(COUNTIFS('Staffing Coverage'!$A$5:$A$12,E192,'Staffing Coverage'!$B$5:$B$12,G192)=0,"",IF(COUNTIFS($A$5:$A$10004,A192,$E$5:$E$10004,E192,$G$5:$G$10004,G192)&lt;INDEX('Staffing Coverage'!$C$5:$C$12,MATCH(1,('Staffing Coverage'!$A$5:$A$12=E192)*('Staffing Coverage'!$B$5:$B$12=G192),0)),"SHORT","OK"))</f>
        <v/>
      </c>
    </row>
    <row r="193" customFormat="false" ht="15" hidden="false" customHeight="false" outlineLevel="0" collapsed="false">
      <c r="A193" s="15" t="n">
        <v>46305</v>
      </c>
      <c r="B193" s="16" t="str">
        <f aca="false">TEXT(A193,"ddd")</f>
        <v>Sat</v>
      </c>
      <c r="C193" s="10" t="s">
        <v>170</v>
      </c>
      <c r="D193" s="16" t="str">
        <f aca="false">IFERROR(INDEX('Staff Master'!$B$5:$B$24,MATCH(C193,'Staff Master'!$A$5:$A$24,0)),"")</f>
        <v>Maria Santos</v>
      </c>
      <c r="E193" s="16" t="str">
        <f aca="false">IFERROR(INDEX('Staff Master'!$D$5:$D$24,MATCH(C193,'Staff Master'!$A$5:$A$24,0)),"")</f>
        <v>Nursing</v>
      </c>
      <c r="F193" s="16" t="str">
        <f aca="false">IFERROR(INDEX('Staff Master'!$E$5:$E$24,MATCH(C193,'Staff Master'!$A$5:$A$24,0)),"")</f>
        <v>Nurse</v>
      </c>
      <c r="G193" s="10" t="s">
        <v>97</v>
      </c>
      <c r="H193" s="17" t="n">
        <f aca="false">IFERROR(INDEX('Shift Master'!$C$5:$C$16,MATCH(G193,'Shift Master'!$A$5:$A$16,0)),"")</f>
        <v>0</v>
      </c>
      <c r="I193" s="17" t="n">
        <f aca="false">IFERROR(INDEX('Shift Master'!$D$5:$D$16,MATCH(G193,'Shift Master'!$A$5:$A$16,0)),"")</f>
        <v>0</v>
      </c>
      <c r="J193" s="16" t="n">
        <f aca="false">IFERROR(INDEX('Shift Master'!$E$5:$E$16,MATCH(G193,'Shift Master'!$A$5:$A$16,0)),"")</f>
        <v>0</v>
      </c>
      <c r="K193" s="16" t="n">
        <f aca="false">IFERROR(INDEX('Shift Master'!$G$5:$G$16,MATCH(G193,'Shift Master'!$A$5:$A$16,0)),0)</f>
        <v>0</v>
      </c>
      <c r="L193" s="16" t="s">
        <v>228</v>
      </c>
      <c r="M193" s="16" t="s">
        <v>229</v>
      </c>
      <c r="N193" s="16" t="str">
        <f aca="false">IF(COUNTIFS('Staffing Coverage'!$A$5:$A$12,E193,'Staffing Coverage'!$B$5:$B$12,G193)=0,"",IF(COUNTIFS($A$5:$A$10004,A193,$E$5:$E$10004,E193,$G$5:$G$10004,G193)&lt;INDEX('Staffing Coverage'!$C$5:$C$12,MATCH(1,('Staffing Coverage'!$A$5:$A$12=E193)*('Staffing Coverage'!$B$5:$B$12=G193),0)),"SHORT","OK"))</f>
        <v/>
      </c>
    </row>
    <row r="194" customFormat="false" ht="15" hidden="false" customHeight="false" outlineLevel="0" collapsed="false">
      <c r="A194" s="15" t="n">
        <v>46305</v>
      </c>
      <c r="B194" s="16" t="str">
        <f aca="false">TEXT(A194,"ddd")</f>
        <v>Sat</v>
      </c>
      <c r="C194" s="10" t="s">
        <v>174</v>
      </c>
      <c r="D194" s="16" t="str">
        <f aca="false">IFERROR(INDEX('Staff Master'!$B$5:$B$24,MATCH(C194,'Staff Master'!$A$5:$A$24,0)),"")</f>
        <v>Aisha Al Shamsi</v>
      </c>
      <c r="E194" s="16" t="str">
        <f aca="false">IFERROR(INDEX('Staff Master'!$D$5:$D$24,MATCH(C194,'Staff Master'!$A$5:$A$24,0)),"")</f>
        <v>Reception</v>
      </c>
      <c r="F194" s="16" t="str">
        <f aca="false">IFERROR(INDEX('Staff Master'!$E$5:$E$24,MATCH(C194,'Staff Master'!$A$5:$A$24,0)),"")</f>
        <v>Receptionist</v>
      </c>
      <c r="G194" s="10" t="s">
        <v>87</v>
      </c>
      <c r="H194" s="17" t="n">
        <f aca="false">IFERROR(INDEX('Shift Master'!$C$5:$C$16,MATCH(G194,'Shift Master'!$A$5:$A$16,0)),"")</f>
        <v>0.333333333333333</v>
      </c>
      <c r="I194" s="17" t="n">
        <f aca="false">IFERROR(INDEX('Shift Master'!$D$5:$D$16,MATCH(G194,'Shift Master'!$A$5:$A$16,0)),"")</f>
        <v>0.708333333333333</v>
      </c>
      <c r="J194" s="16" t="n">
        <f aca="false">IFERROR(INDEX('Shift Master'!$E$5:$E$16,MATCH(G194,'Shift Master'!$A$5:$A$16,0)),"")</f>
        <v>60</v>
      </c>
      <c r="K194" s="16" t="n">
        <f aca="false">IFERROR(INDEX('Shift Master'!$G$5:$G$16,MATCH(G194,'Shift Master'!$A$5:$A$16,0)),0)</f>
        <v>8</v>
      </c>
      <c r="L194" s="16" t="s">
        <v>228</v>
      </c>
      <c r="M194" s="16" t="s">
        <v>229</v>
      </c>
      <c r="N194" s="16" t="str">
        <f aca="false">IF(COUNTIFS('Staffing Coverage'!$A$5:$A$12,E194,'Staffing Coverage'!$B$5:$B$12,G194)=0,"",IF(COUNTIFS($A$5:$A$10004,A194,$E$5:$E$10004,E194,$G$5:$G$10004,G194)&lt;INDEX('Staffing Coverage'!$C$5:$C$12,MATCH(1,('Staffing Coverage'!$A$5:$A$12=E194)*('Staffing Coverage'!$B$5:$B$12=G194),0)),"SHORT","OK"))</f>
        <v>SHORT</v>
      </c>
    </row>
    <row r="195" customFormat="false" ht="15" hidden="false" customHeight="false" outlineLevel="0" collapsed="false">
      <c r="A195" s="15" t="n">
        <v>46305</v>
      </c>
      <c r="B195" s="16" t="str">
        <f aca="false">TEXT(A195,"ddd")</f>
        <v>Sat</v>
      </c>
      <c r="C195" s="10" t="s">
        <v>179</v>
      </c>
      <c r="D195" s="16" t="str">
        <f aca="false">IFERROR(INDEX('Staff Master'!$B$5:$B$24,MATCH(C195,'Staff Master'!$A$5:$A$24,0)),"")</f>
        <v>John Dsouza</v>
      </c>
      <c r="E195" s="16" t="str">
        <f aca="false">IFERROR(INDEX('Staff Master'!$D$5:$D$24,MATCH(C195,'Staff Master'!$A$5:$A$24,0)),"")</f>
        <v>Reception</v>
      </c>
      <c r="F195" s="16" t="str">
        <f aca="false">IFERROR(INDEX('Staff Master'!$E$5:$E$24,MATCH(C195,'Staff Master'!$A$5:$A$24,0)),"")</f>
        <v>Receptionist</v>
      </c>
      <c r="G195" s="10" t="s">
        <v>90</v>
      </c>
      <c r="H195" s="17" t="n">
        <f aca="false">IFERROR(INDEX('Shift Master'!$C$5:$C$16,MATCH(G195,'Shift Master'!$A$5:$A$16,0)),"")</f>
        <v>0.375</v>
      </c>
      <c r="I195" s="17" t="n">
        <f aca="false">IFERROR(INDEX('Shift Master'!$D$5:$D$16,MATCH(G195,'Shift Master'!$A$5:$A$16,0)),"")</f>
        <v>0.75</v>
      </c>
      <c r="J195" s="16" t="n">
        <f aca="false">IFERROR(INDEX('Shift Master'!$E$5:$E$16,MATCH(G195,'Shift Master'!$A$5:$A$16,0)),"")</f>
        <v>60</v>
      </c>
      <c r="K195" s="16" t="n">
        <f aca="false">IFERROR(INDEX('Shift Master'!$G$5:$G$16,MATCH(G195,'Shift Master'!$A$5:$A$16,0)),0)</f>
        <v>8</v>
      </c>
      <c r="L195" s="16" t="s">
        <v>228</v>
      </c>
      <c r="M195" s="16" t="s">
        <v>229</v>
      </c>
      <c r="N195" s="16" t="str">
        <f aca="false">IF(COUNTIFS('Staffing Coverage'!$A$5:$A$12,E195,'Staffing Coverage'!$B$5:$B$12,G195)=0,"",IF(COUNTIFS($A$5:$A$10004,A195,$E$5:$E$10004,E195,$G$5:$G$10004,G195)&lt;INDEX('Staffing Coverage'!$C$5:$C$12,MATCH(1,('Staffing Coverage'!$A$5:$A$12=E195)*('Staffing Coverage'!$B$5:$B$12=G195),0)),"SHORT","OK"))</f>
        <v>SHORT</v>
      </c>
    </row>
    <row r="196" customFormat="false" ht="15" hidden="false" customHeight="false" outlineLevel="0" collapsed="false">
      <c r="A196" s="15" t="n">
        <v>46305</v>
      </c>
      <c r="B196" s="16" t="str">
        <f aca="false">TEXT(A196,"ddd")</f>
        <v>Sat</v>
      </c>
      <c r="C196" s="10" t="s">
        <v>184</v>
      </c>
      <c r="D196" s="16" t="str">
        <f aca="false">IFERROR(INDEX('Staff Master'!$B$5:$B$24,MATCH(C196,'Staff Master'!$A$5:$A$24,0)),"")</f>
        <v>Fatima Zahra</v>
      </c>
      <c r="E196" s="16" t="str">
        <f aca="false">IFERROR(INDEX('Staff Master'!$D$5:$D$24,MATCH(C196,'Staff Master'!$A$5:$A$24,0)),"")</f>
        <v>Reception</v>
      </c>
      <c r="F196" s="16" t="str">
        <f aca="false">IFERROR(INDEX('Staff Master'!$E$5:$E$24,MATCH(C196,'Staff Master'!$A$5:$A$24,0)),"")</f>
        <v>Receptionist</v>
      </c>
      <c r="G196" s="10" t="s">
        <v>97</v>
      </c>
      <c r="H196" s="17" t="n">
        <f aca="false">IFERROR(INDEX('Shift Master'!$C$5:$C$16,MATCH(G196,'Shift Master'!$A$5:$A$16,0)),"")</f>
        <v>0</v>
      </c>
      <c r="I196" s="17" t="n">
        <f aca="false">IFERROR(INDEX('Shift Master'!$D$5:$D$16,MATCH(G196,'Shift Master'!$A$5:$A$16,0)),"")</f>
        <v>0</v>
      </c>
      <c r="J196" s="16" t="n">
        <f aca="false">IFERROR(INDEX('Shift Master'!$E$5:$E$16,MATCH(G196,'Shift Master'!$A$5:$A$16,0)),"")</f>
        <v>0</v>
      </c>
      <c r="K196" s="16" t="n">
        <f aca="false">IFERROR(INDEX('Shift Master'!$G$5:$G$16,MATCH(G196,'Shift Master'!$A$5:$A$16,0)),0)</f>
        <v>0</v>
      </c>
      <c r="L196" s="16" t="s">
        <v>228</v>
      </c>
      <c r="M196" s="16" t="s">
        <v>229</v>
      </c>
      <c r="N196" s="16" t="str">
        <f aca="false">IF(COUNTIFS('Staffing Coverage'!$A$5:$A$12,E196,'Staffing Coverage'!$B$5:$B$12,G196)=0,"",IF(COUNTIFS($A$5:$A$10004,A196,$E$5:$E$10004,E196,$G$5:$G$10004,G196)&lt;INDEX('Staffing Coverage'!$C$5:$C$12,MATCH(1,('Staffing Coverage'!$A$5:$A$12=E196)*('Staffing Coverage'!$B$5:$B$12=G196),0)),"SHORT","OK"))</f>
        <v/>
      </c>
    </row>
    <row r="197" customFormat="false" ht="15" hidden="false" customHeight="false" outlineLevel="0" collapsed="false">
      <c r="A197" s="15" t="n">
        <v>46305</v>
      </c>
      <c r="B197" s="16" t="str">
        <f aca="false">TEXT(A197,"ddd")</f>
        <v>Sat</v>
      </c>
      <c r="C197" s="10" t="s">
        <v>188</v>
      </c>
      <c r="D197" s="16" t="str">
        <f aca="false">IFERROR(INDEX('Staff Master'!$B$5:$B$24,MATCH(C197,'Staff Master'!$A$5:$A$24,0)),"")</f>
        <v>Ana Reyes</v>
      </c>
      <c r="E197" s="16" t="str">
        <f aca="false">IFERROR(INDEX('Staff Master'!$D$5:$D$24,MATCH(C197,'Staff Master'!$A$5:$A$24,0)),"")</f>
        <v>Dental</v>
      </c>
      <c r="F197" s="16" t="str">
        <f aca="false">IFERROR(INDEX('Staff Master'!$E$5:$E$24,MATCH(C197,'Staff Master'!$A$5:$A$24,0)),"")</f>
        <v>Dental Assistant</v>
      </c>
      <c r="G197" s="10" t="s">
        <v>87</v>
      </c>
      <c r="H197" s="17" t="n">
        <f aca="false">IFERROR(INDEX('Shift Master'!$C$5:$C$16,MATCH(G197,'Shift Master'!$A$5:$A$16,0)),"")</f>
        <v>0.333333333333333</v>
      </c>
      <c r="I197" s="17" t="n">
        <f aca="false">IFERROR(INDEX('Shift Master'!$D$5:$D$16,MATCH(G197,'Shift Master'!$A$5:$A$16,0)),"")</f>
        <v>0.708333333333333</v>
      </c>
      <c r="J197" s="16" t="n">
        <f aca="false">IFERROR(INDEX('Shift Master'!$E$5:$E$16,MATCH(G197,'Shift Master'!$A$5:$A$16,0)),"")</f>
        <v>60</v>
      </c>
      <c r="K197" s="16" t="n">
        <f aca="false">IFERROR(INDEX('Shift Master'!$G$5:$G$16,MATCH(G197,'Shift Master'!$A$5:$A$16,0)),0)</f>
        <v>8</v>
      </c>
      <c r="L197" s="16" t="s">
        <v>228</v>
      </c>
      <c r="M197" s="16" t="s">
        <v>229</v>
      </c>
      <c r="N197" s="16" t="str">
        <f aca="false">IF(COUNTIFS('Staffing Coverage'!$A$5:$A$12,E197,'Staffing Coverage'!$B$5:$B$12,G197)=0,"",IF(COUNTIFS($A$5:$A$10004,A197,$E$5:$E$10004,E197,$G$5:$G$10004,G197)&lt;INDEX('Staffing Coverage'!$C$5:$C$12,MATCH(1,('Staffing Coverage'!$A$5:$A$12=E197)*('Staffing Coverage'!$B$5:$B$12=G197),0)),"SHORT","OK"))</f>
        <v>OK</v>
      </c>
    </row>
    <row r="198" customFormat="false" ht="15" hidden="false" customHeight="false" outlineLevel="0" collapsed="false">
      <c r="A198" s="15" t="n">
        <v>46305</v>
      </c>
      <c r="B198" s="16" t="str">
        <f aca="false">TEXT(A198,"ddd")</f>
        <v>Sat</v>
      </c>
      <c r="C198" s="10" t="s">
        <v>192</v>
      </c>
      <c r="D198" s="16" t="str">
        <f aca="false">IFERROR(INDEX('Staff Master'!$B$5:$B$24,MATCH(C198,'Staff Master'!$A$5:$A$24,0)),"")</f>
        <v>Noor Hassan</v>
      </c>
      <c r="E198" s="16" t="str">
        <f aca="false">IFERROR(INDEX('Staff Master'!$D$5:$D$24,MATCH(C198,'Staff Master'!$A$5:$A$24,0)),"")</f>
        <v>Dental</v>
      </c>
      <c r="F198" s="16" t="str">
        <f aca="false">IFERROR(INDEX('Staff Master'!$E$5:$E$24,MATCH(C198,'Staff Master'!$A$5:$A$24,0)),"")</f>
        <v>Dental Assistant</v>
      </c>
      <c r="G198" s="10" t="s">
        <v>97</v>
      </c>
      <c r="H198" s="17" t="n">
        <f aca="false">IFERROR(INDEX('Shift Master'!$C$5:$C$16,MATCH(G198,'Shift Master'!$A$5:$A$16,0)),"")</f>
        <v>0</v>
      </c>
      <c r="I198" s="17" t="n">
        <f aca="false">IFERROR(INDEX('Shift Master'!$D$5:$D$16,MATCH(G198,'Shift Master'!$A$5:$A$16,0)),"")</f>
        <v>0</v>
      </c>
      <c r="J198" s="16" t="n">
        <f aca="false">IFERROR(INDEX('Shift Master'!$E$5:$E$16,MATCH(G198,'Shift Master'!$A$5:$A$16,0)),"")</f>
        <v>0</v>
      </c>
      <c r="K198" s="16" t="n">
        <f aca="false">IFERROR(INDEX('Shift Master'!$G$5:$G$16,MATCH(G198,'Shift Master'!$A$5:$A$16,0)),0)</f>
        <v>0</v>
      </c>
      <c r="L198" s="16" t="s">
        <v>228</v>
      </c>
      <c r="M198" s="16" t="s">
        <v>229</v>
      </c>
      <c r="N198" s="16" t="str">
        <f aca="false">IF(COUNTIFS('Staffing Coverage'!$A$5:$A$12,E198,'Staffing Coverage'!$B$5:$B$12,G198)=0,"",IF(COUNTIFS($A$5:$A$10004,A198,$E$5:$E$10004,E198,$G$5:$G$10004,G198)&lt;INDEX('Staffing Coverage'!$C$5:$C$12,MATCH(1,('Staffing Coverage'!$A$5:$A$12=E198)*('Staffing Coverage'!$B$5:$B$12=G198),0)),"SHORT","OK"))</f>
        <v/>
      </c>
    </row>
    <row r="199" customFormat="false" ht="15" hidden="false" customHeight="false" outlineLevel="0" collapsed="false">
      <c r="A199" s="15" t="n">
        <v>46305</v>
      </c>
      <c r="B199" s="16" t="str">
        <f aca="false">TEXT(A199,"ddd")</f>
        <v>Sat</v>
      </c>
      <c r="C199" s="10" t="s">
        <v>196</v>
      </c>
      <c r="D199" s="16" t="str">
        <f aca="false">IFERROR(INDEX('Staff Master'!$B$5:$B$24,MATCH(C199,'Staff Master'!$A$5:$A$24,0)),"")</f>
        <v>Karan Mehta</v>
      </c>
      <c r="E199" s="16" t="str">
        <f aca="false">IFERROR(INDEX('Staff Master'!$D$5:$D$24,MATCH(C199,'Staff Master'!$A$5:$A$24,0)),"")</f>
        <v>Laser</v>
      </c>
      <c r="F199" s="16" t="str">
        <f aca="false">IFERROR(INDEX('Staff Master'!$E$5:$E$24,MATCH(C199,'Staff Master'!$A$5:$A$24,0)),"")</f>
        <v>Laser Technician</v>
      </c>
      <c r="G199" s="10" t="s">
        <v>90</v>
      </c>
      <c r="H199" s="17" t="n">
        <f aca="false">IFERROR(INDEX('Shift Master'!$C$5:$C$16,MATCH(G199,'Shift Master'!$A$5:$A$16,0)),"")</f>
        <v>0.375</v>
      </c>
      <c r="I199" s="17" t="n">
        <f aca="false">IFERROR(INDEX('Shift Master'!$D$5:$D$16,MATCH(G199,'Shift Master'!$A$5:$A$16,0)),"")</f>
        <v>0.75</v>
      </c>
      <c r="J199" s="16" t="n">
        <f aca="false">IFERROR(INDEX('Shift Master'!$E$5:$E$16,MATCH(G199,'Shift Master'!$A$5:$A$16,0)),"")</f>
        <v>60</v>
      </c>
      <c r="K199" s="16" t="n">
        <f aca="false">IFERROR(INDEX('Shift Master'!$G$5:$G$16,MATCH(G199,'Shift Master'!$A$5:$A$16,0)),0)</f>
        <v>8</v>
      </c>
      <c r="L199" s="16" t="s">
        <v>228</v>
      </c>
      <c r="M199" s="16" t="s">
        <v>229</v>
      </c>
      <c r="N199" s="16" t="str">
        <f aca="false">IF(COUNTIFS('Staffing Coverage'!$A$5:$A$12,E199,'Staffing Coverage'!$B$5:$B$12,G199)=0,"",IF(COUNTIFS($A$5:$A$10004,A199,$E$5:$E$10004,E199,$G$5:$G$10004,G199)&lt;INDEX('Staffing Coverage'!$C$5:$C$12,MATCH(1,('Staffing Coverage'!$A$5:$A$12=E199)*('Staffing Coverage'!$B$5:$B$12=G199),0)),"SHORT","OK"))</f>
        <v/>
      </c>
    </row>
    <row r="200" customFormat="false" ht="15" hidden="false" customHeight="false" outlineLevel="0" collapsed="false">
      <c r="A200" s="15" t="n">
        <v>46305</v>
      </c>
      <c r="B200" s="16" t="str">
        <f aca="false">TEXT(A200,"ddd")</f>
        <v>Sat</v>
      </c>
      <c r="C200" s="10" t="s">
        <v>200</v>
      </c>
      <c r="D200" s="16" t="str">
        <f aca="false">IFERROR(INDEX('Staff Master'!$B$5:$B$24,MATCH(C200,'Staff Master'!$A$5:$A$24,0)),"")</f>
        <v>Imran Sheikh</v>
      </c>
      <c r="E200" s="16" t="str">
        <f aca="false">IFERROR(INDEX('Staff Master'!$D$5:$D$24,MATCH(C200,'Staff Master'!$A$5:$A$24,0)),"")</f>
        <v>Dental Laboratory</v>
      </c>
      <c r="F200" s="16" t="str">
        <f aca="false">IFERROR(INDEX('Staff Master'!$E$5:$E$24,MATCH(C200,'Staff Master'!$A$5:$A$24,0)),"")</f>
        <v>Dental Technician</v>
      </c>
      <c r="G200" s="10" t="s">
        <v>97</v>
      </c>
      <c r="H200" s="17" t="n">
        <f aca="false">IFERROR(INDEX('Shift Master'!$C$5:$C$16,MATCH(G200,'Shift Master'!$A$5:$A$16,0)),"")</f>
        <v>0</v>
      </c>
      <c r="I200" s="17" t="n">
        <f aca="false">IFERROR(INDEX('Shift Master'!$D$5:$D$16,MATCH(G200,'Shift Master'!$A$5:$A$16,0)),"")</f>
        <v>0</v>
      </c>
      <c r="J200" s="16" t="n">
        <f aca="false">IFERROR(INDEX('Shift Master'!$E$5:$E$16,MATCH(G200,'Shift Master'!$A$5:$A$16,0)),"")</f>
        <v>0</v>
      </c>
      <c r="K200" s="16" t="n">
        <f aca="false">IFERROR(INDEX('Shift Master'!$G$5:$G$16,MATCH(G200,'Shift Master'!$A$5:$A$16,0)),0)</f>
        <v>0</v>
      </c>
      <c r="L200" s="16" t="s">
        <v>228</v>
      </c>
      <c r="M200" s="16" t="s">
        <v>229</v>
      </c>
      <c r="N200" s="16" t="str">
        <f aca="false">IF(COUNTIFS('Staffing Coverage'!$A$5:$A$12,E200,'Staffing Coverage'!$B$5:$B$12,G200)=0,"",IF(COUNTIFS($A$5:$A$10004,A200,$E$5:$E$10004,E200,$G$5:$G$10004,G200)&lt;INDEX('Staffing Coverage'!$C$5:$C$12,MATCH(1,('Staffing Coverage'!$A$5:$A$12=E200)*('Staffing Coverage'!$B$5:$B$12=G200),0)),"SHORT","OK"))</f>
        <v/>
      </c>
    </row>
    <row r="201" customFormat="false" ht="15" hidden="false" customHeight="false" outlineLevel="0" collapsed="false">
      <c r="A201" s="15" t="n">
        <v>46305</v>
      </c>
      <c r="B201" s="16" t="str">
        <f aca="false">TEXT(A201,"ddd")</f>
        <v>Sat</v>
      </c>
      <c r="C201" s="10" t="s">
        <v>204</v>
      </c>
      <c r="D201" s="16" t="str">
        <f aca="false">IFERROR(INDEX('Staff Master'!$B$5:$B$24,MATCH(C201,'Staff Master'!$A$5:$A$24,0)),"")</f>
        <v>Josephine Cruz</v>
      </c>
      <c r="E201" s="16" t="str">
        <f aca="false">IFERROR(INDEX('Staff Master'!$D$5:$D$24,MATCH(C201,'Staff Master'!$A$5:$A$24,0)),"")</f>
        <v>CSSD</v>
      </c>
      <c r="F201" s="16" t="str">
        <f aca="false">IFERROR(INDEX('Staff Master'!$E$5:$E$24,MATCH(C201,'Staff Master'!$A$5:$A$24,0)),"")</f>
        <v>CSSD Technician</v>
      </c>
      <c r="G201" s="10" t="s">
        <v>87</v>
      </c>
      <c r="H201" s="17" t="n">
        <f aca="false">IFERROR(INDEX('Shift Master'!$C$5:$C$16,MATCH(G201,'Shift Master'!$A$5:$A$16,0)),"")</f>
        <v>0.333333333333333</v>
      </c>
      <c r="I201" s="17" t="n">
        <f aca="false">IFERROR(INDEX('Shift Master'!$D$5:$D$16,MATCH(G201,'Shift Master'!$A$5:$A$16,0)),"")</f>
        <v>0.708333333333333</v>
      </c>
      <c r="J201" s="16" t="n">
        <f aca="false">IFERROR(INDEX('Shift Master'!$E$5:$E$16,MATCH(G201,'Shift Master'!$A$5:$A$16,0)),"")</f>
        <v>60</v>
      </c>
      <c r="K201" s="16" t="n">
        <f aca="false">IFERROR(INDEX('Shift Master'!$G$5:$G$16,MATCH(G201,'Shift Master'!$A$5:$A$16,0)),0)</f>
        <v>8</v>
      </c>
      <c r="L201" s="16" t="s">
        <v>228</v>
      </c>
      <c r="M201" s="16" t="s">
        <v>229</v>
      </c>
      <c r="N201" s="16" t="str">
        <f aca="false">IF(COUNTIFS('Staffing Coverage'!$A$5:$A$12,E201,'Staffing Coverage'!$B$5:$B$12,G201)=0,"",IF(COUNTIFS($A$5:$A$10004,A201,$E$5:$E$10004,E201,$G$5:$G$10004,G201)&lt;INDEX('Staffing Coverage'!$C$5:$C$12,MATCH(1,('Staffing Coverage'!$A$5:$A$12=E201)*('Staffing Coverage'!$B$5:$B$12=G201),0)),"SHORT","OK"))</f>
        <v>OK</v>
      </c>
    </row>
    <row r="202" customFormat="false" ht="15" hidden="false" customHeight="false" outlineLevel="0" collapsed="false">
      <c r="A202" s="15" t="n">
        <v>46305</v>
      </c>
      <c r="B202" s="16" t="str">
        <f aca="false">TEXT(A202,"ddd")</f>
        <v>Sat</v>
      </c>
      <c r="C202" s="10" t="s">
        <v>208</v>
      </c>
      <c r="D202" s="16" t="str">
        <f aca="false">IFERROR(INDEX('Staff Master'!$B$5:$B$24,MATCH(C202,'Staff Master'!$A$5:$A$24,0)),"")</f>
        <v>Rosalyn Tan</v>
      </c>
      <c r="E202" s="16" t="str">
        <f aca="false">IFERROR(INDEX('Staff Master'!$D$5:$D$24,MATCH(C202,'Staff Master'!$A$5:$A$24,0)),"")</f>
        <v>Cleaning</v>
      </c>
      <c r="F202" s="16" t="str">
        <f aca="false">IFERROR(INDEX('Staff Master'!$E$5:$E$24,MATCH(C202,'Staff Master'!$A$5:$A$24,0)),"")</f>
        <v>Cleaner</v>
      </c>
      <c r="G202" s="10" t="s">
        <v>97</v>
      </c>
      <c r="H202" s="17" t="n">
        <f aca="false">IFERROR(INDEX('Shift Master'!$C$5:$C$16,MATCH(G202,'Shift Master'!$A$5:$A$16,0)),"")</f>
        <v>0</v>
      </c>
      <c r="I202" s="17" t="n">
        <f aca="false">IFERROR(INDEX('Shift Master'!$D$5:$D$16,MATCH(G202,'Shift Master'!$A$5:$A$16,0)),"")</f>
        <v>0</v>
      </c>
      <c r="J202" s="16" t="n">
        <f aca="false">IFERROR(INDEX('Shift Master'!$E$5:$E$16,MATCH(G202,'Shift Master'!$A$5:$A$16,0)),"")</f>
        <v>0</v>
      </c>
      <c r="K202" s="16" t="n">
        <f aca="false">IFERROR(INDEX('Shift Master'!$G$5:$G$16,MATCH(G202,'Shift Master'!$A$5:$A$16,0)),0)</f>
        <v>0</v>
      </c>
      <c r="L202" s="16" t="s">
        <v>228</v>
      </c>
      <c r="M202" s="16" t="s">
        <v>229</v>
      </c>
      <c r="N202" s="16" t="str">
        <f aca="false">IF(COUNTIFS('Staffing Coverage'!$A$5:$A$12,E202,'Staffing Coverage'!$B$5:$B$12,G202)=0,"",IF(COUNTIFS($A$5:$A$10004,A202,$E$5:$E$10004,E202,$G$5:$G$10004,G202)&lt;INDEX('Staffing Coverage'!$C$5:$C$12,MATCH(1,('Staffing Coverage'!$A$5:$A$12=E202)*('Staffing Coverage'!$B$5:$B$12=G202),0)),"SHORT","OK"))</f>
        <v/>
      </c>
    </row>
    <row r="203" customFormat="false" ht="15" hidden="false" customHeight="false" outlineLevel="0" collapsed="false">
      <c r="A203" s="15" t="n">
        <v>46305</v>
      </c>
      <c r="B203" s="16" t="str">
        <f aca="false">TEXT(A203,"ddd")</f>
        <v>Sat</v>
      </c>
      <c r="C203" s="10" t="s">
        <v>212</v>
      </c>
      <c r="D203" s="16" t="str">
        <f aca="false">IFERROR(INDEX('Staff Master'!$B$5:$B$24,MATCH(C203,'Staff Master'!$A$5:$A$24,0)),"")</f>
        <v>Hassan Baig</v>
      </c>
      <c r="E203" s="16" t="str">
        <f aca="false">IFERROR(INDEX('Staff Master'!$D$5:$D$24,MATCH(C203,'Staff Master'!$A$5:$A$24,0)),"")</f>
        <v>Facilities</v>
      </c>
      <c r="F203" s="16" t="str">
        <f aca="false">IFERROR(INDEX('Staff Master'!$E$5:$E$24,MATCH(C203,'Staff Master'!$A$5:$A$24,0)),"")</f>
        <v>Facility Manager</v>
      </c>
      <c r="G203" s="10" t="s">
        <v>90</v>
      </c>
      <c r="H203" s="17" t="n">
        <f aca="false">IFERROR(INDEX('Shift Master'!$C$5:$C$16,MATCH(G203,'Shift Master'!$A$5:$A$16,0)),"")</f>
        <v>0.375</v>
      </c>
      <c r="I203" s="17" t="n">
        <f aca="false">IFERROR(INDEX('Shift Master'!$D$5:$D$16,MATCH(G203,'Shift Master'!$A$5:$A$16,0)),"")</f>
        <v>0.75</v>
      </c>
      <c r="J203" s="16" t="n">
        <f aca="false">IFERROR(INDEX('Shift Master'!$E$5:$E$16,MATCH(G203,'Shift Master'!$A$5:$A$16,0)),"")</f>
        <v>60</v>
      </c>
      <c r="K203" s="16" t="n">
        <f aca="false">IFERROR(INDEX('Shift Master'!$G$5:$G$16,MATCH(G203,'Shift Master'!$A$5:$A$16,0)),0)</f>
        <v>8</v>
      </c>
      <c r="L203" s="16" t="s">
        <v>228</v>
      </c>
      <c r="M203" s="16" t="s">
        <v>229</v>
      </c>
      <c r="N203" s="16" t="str">
        <f aca="false">IF(COUNTIFS('Staffing Coverage'!$A$5:$A$12,E203,'Staffing Coverage'!$B$5:$B$12,G203)=0,"",IF(COUNTIFS($A$5:$A$10004,A203,$E$5:$E$10004,E203,$G$5:$G$10004,G203)&lt;INDEX('Staffing Coverage'!$C$5:$C$12,MATCH(1,('Staffing Coverage'!$A$5:$A$12=E203)*('Staffing Coverage'!$B$5:$B$12=G203),0)),"SHORT","OK"))</f>
        <v/>
      </c>
    </row>
    <row r="204" customFormat="false" ht="15" hidden="false" customHeight="false" outlineLevel="0" collapsed="false">
      <c r="A204" s="15" t="n">
        <v>46305</v>
      </c>
      <c r="B204" s="16" t="str">
        <f aca="false">TEXT(A204,"ddd")</f>
        <v>Sat</v>
      </c>
      <c r="C204" s="10" t="s">
        <v>178</v>
      </c>
      <c r="D204" s="16" t="str">
        <f aca="false">IFERROR(INDEX('Staff Master'!$B$5:$B$24,MATCH(C204,'Staff Master'!$A$5:$A$24,0)),"")</f>
        <v>Meera Pillai</v>
      </c>
      <c r="E204" s="16" t="str">
        <f aca="false">IFERROR(INDEX('Staff Master'!$D$5:$D$24,MATCH(C204,'Staff Master'!$A$5:$A$24,0)),"")</f>
        <v>HR</v>
      </c>
      <c r="F204" s="16" t="str">
        <f aca="false">IFERROR(INDEX('Staff Master'!$E$5:$E$24,MATCH(C204,'Staff Master'!$A$5:$A$24,0)),"")</f>
        <v>HR Executive</v>
      </c>
      <c r="G204" s="10" t="s">
        <v>97</v>
      </c>
      <c r="H204" s="17" t="n">
        <f aca="false">IFERROR(INDEX('Shift Master'!$C$5:$C$16,MATCH(G204,'Shift Master'!$A$5:$A$16,0)),"")</f>
        <v>0</v>
      </c>
      <c r="I204" s="17" t="n">
        <f aca="false">IFERROR(INDEX('Shift Master'!$D$5:$D$16,MATCH(G204,'Shift Master'!$A$5:$A$16,0)),"")</f>
        <v>0</v>
      </c>
      <c r="J204" s="16" t="n">
        <f aca="false">IFERROR(INDEX('Shift Master'!$E$5:$E$16,MATCH(G204,'Shift Master'!$A$5:$A$16,0)),"")</f>
        <v>0</v>
      </c>
      <c r="K204" s="16" t="n">
        <f aca="false">IFERROR(INDEX('Shift Master'!$G$5:$G$16,MATCH(G204,'Shift Master'!$A$5:$A$16,0)),0)</f>
        <v>0</v>
      </c>
      <c r="L204" s="16" t="s">
        <v>228</v>
      </c>
      <c r="M204" s="16" t="s">
        <v>229</v>
      </c>
      <c r="N204" s="16" t="str">
        <f aca="false">IF(COUNTIFS('Staffing Coverage'!$A$5:$A$12,E204,'Staffing Coverage'!$B$5:$B$12,G204)=0,"",IF(COUNTIFS($A$5:$A$10004,A204,$E$5:$E$10004,E204,$G$5:$G$10004,G204)&lt;INDEX('Staffing Coverage'!$C$5:$C$12,MATCH(1,('Staffing Coverage'!$A$5:$A$12=E204)*('Staffing Coverage'!$B$5:$B$12=G204),0)),"SHORT","OK"))</f>
        <v/>
      </c>
    </row>
    <row r="205" customFormat="false" ht="15" hidden="false" customHeight="false" outlineLevel="0" collapsed="false">
      <c r="A205" s="15" t="n">
        <v>46306</v>
      </c>
      <c r="B205" s="16" t="str">
        <f aca="false">TEXT(A205,"ddd")</f>
        <v>Sun</v>
      </c>
      <c r="C205" s="10" t="s">
        <v>128</v>
      </c>
      <c r="D205" s="16" t="str">
        <f aca="false">IFERROR(INDEX('Staff Master'!$B$5:$B$24,MATCH(C205,'Staff Master'!$A$5:$A$24,0)),"")</f>
        <v>Rashid Al Nuaimi</v>
      </c>
      <c r="E205" s="16" t="str">
        <f aca="false">IFERROR(INDEX('Staff Master'!$D$5:$D$24,MATCH(C205,'Staff Master'!$A$5:$A$24,0)),"")</f>
        <v>Management</v>
      </c>
      <c r="F205" s="16" t="str">
        <f aca="false">IFERROR(INDEX('Staff Master'!$E$5:$E$24,MATCH(C205,'Staff Master'!$A$5:$A$24,0)),"")</f>
        <v>CEO</v>
      </c>
      <c r="G205" s="10" t="s">
        <v>90</v>
      </c>
      <c r="H205" s="17" t="n">
        <f aca="false">IFERROR(INDEX('Shift Master'!$C$5:$C$16,MATCH(G205,'Shift Master'!$A$5:$A$16,0)),"")</f>
        <v>0.375</v>
      </c>
      <c r="I205" s="17" t="n">
        <f aca="false">IFERROR(INDEX('Shift Master'!$D$5:$D$16,MATCH(G205,'Shift Master'!$A$5:$A$16,0)),"")</f>
        <v>0.75</v>
      </c>
      <c r="J205" s="16" t="n">
        <f aca="false">IFERROR(INDEX('Shift Master'!$E$5:$E$16,MATCH(G205,'Shift Master'!$A$5:$A$16,0)),"")</f>
        <v>60</v>
      </c>
      <c r="K205" s="16" t="n">
        <f aca="false">IFERROR(INDEX('Shift Master'!$G$5:$G$16,MATCH(G205,'Shift Master'!$A$5:$A$16,0)),0)</f>
        <v>8</v>
      </c>
      <c r="L205" s="16" t="s">
        <v>228</v>
      </c>
      <c r="M205" s="16" t="s">
        <v>229</v>
      </c>
      <c r="N205" s="16" t="str">
        <f aca="false">IF(COUNTIFS('Staffing Coverage'!$A$5:$A$12,E205,'Staffing Coverage'!$B$5:$B$12,G205)=0,"",IF(COUNTIFS($A$5:$A$10004,A205,$E$5:$E$10004,E205,$G$5:$G$10004,G205)&lt;INDEX('Staffing Coverage'!$C$5:$C$12,MATCH(1,('Staffing Coverage'!$A$5:$A$12=E205)*('Staffing Coverage'!$B$5:$B$12=G205),0)),"SHORT","OK"))</f>
        <v/>
      </c>
    </row>
    <row r="206" customFormat="false" ht="15" hidden="false" customHeight="false" outlineLevel="0" collapsed="false">
      <c r="A206" s="15" t="n">
        <v>46306</v>
      </c>
      <c r="B206" s="16" t="str">
        <f aca="false">TEXT(A206,"ddd")</f>
        <v>Sun</v>
      </c>
      <c r="C206" s="10" t="s">
        <v>137</v>
      </c>
      <c r="D206" s="16" t="str">
        <f aca="false">IFERROR(INDEX('Staff Master'!$B$5:$B$24,MATCH(C206,'Staff Master'!$A$5:$A$24,0)),"")</f>
        <v>Dr. Sara Haddad</v>
      </c>
      <c r="E206" s="16" t="str">
        <f aca="false">IFERROR(INDEX('Staff Master'!$D$5:$D$24,MATCH(C206,'Staff Master'!$A$5:$A$24,0)),"")</f>
        <v>General Practice</v>
      </c>
      <c r="F206" s="16" t="str">
        <f aca="false">IFERROR(INDEX('Staff Master'!$E$5:$E$24,MATCH(C206,'Staff Master'!$A$5:$A$24,0)),"")</f>
        <v>Medical Director</v>
      </c>
      <c r="G206" s="10" t="s">
        <v>96</v>
      </c>
      <c r="H206" s="17" t="n">
        <f aca="false">IFERROR(INDEX('Shift Master'!$C$5:$C$16,MATCH(G206,'Shift Master'!$A$5:$A$16,0)),"")</f>
        <v>0.375</v>
      </c>
      <c r="I206" s="17" t="n">
        <f aca="false">IFERROR(INDEX('Shift Master'!$D$5:$D$16,MATCH(G206,'Shift Master'!$A$5:$A$16,0)),"")</f>
        <v>0.708333333333333</v>
      </c>
      <c r="J206" s="16" t="n">
        <f aca="false">IFERROR(INDEX('Shift Master'!$E$5:$E$16,MATCH(G206,'Shift Master'!$A$5:$A$16,0)),"")</f>
        <v>60</v>
      </c>
      <c r="K206" s="16" t="n">
        <f aca="false">IFERROR(INDEX('Shift Master'!$G$5:$G$16,MATCH(G206,'Shift Master'!$A$5:$A$16,0)),0)</f>
        <v>7</v>
      </c>
      <c r="L206" s="16" t="s">
        <v>228</v>
      </c>
      <c r="M206" s="16" t="s">
        <v>229</v>
      </c>
      <c r="N206" s="16" t="str">
        <f aca="false">IF(COUNTIFS('Staffing Coverage'!$A$5:$A$12,E206,'Staffing Coverage'!$B$5:$B$12,G206)=0,"",IF(COUNTIFS($A$5:$A$10004,A206,$E$5:$E$10004,E206,$G$5:$G$10004,G206)&lt;INDEX('Staffing Coverage'!$C$5:$C$12,MATCH(1,('Staffing Coverage'!$A$5:$A$12=E206)*('Staffing Coverage'!$B$5:$B$12=G206),0)),"SHORT","OK"))</f>
        <v/>
      </c>
    </row>
    <row r="207" customFormat="false" ht="15" hidden="false" customHeight="false" outlineLevel="0" collapsed="false">
      <c r="A207" s="15" t="n">
        <v>46306</v>
      </c>
      <c r="B207" s="16" t="str">
        <f aca="false">TEXT(A207,"ddd")</f>
        <v>Sun</v>
      </c>
      <c r="C207" s="10" t="s">
        <v>142</v>
      </c>
      <c r="D207" s="16" t="str">
        <f aca="false">IFERROR(INDEX('Staff Master'!$B$5:$B$24,MATCH(C207,'Staff Master'!$A$5:$A$24,0)),"")</f>
        <v>Dr. Omar Khalil</v>
      </c>
      <c r="E207" s="16" t="str">
        <f aca="false">IFERROR(INDEX('Staff Master'!$D$5:$D$24,MATCH(C207,'Staff Master'!$A$5:$A$24,0)),"")</f>
        <v>General Practice</v>
      </c>
      <c r="F207" s="16" t="str">
        <f aca="false">IFERROR(INDEX('Staff Master'!$E$5:$E$24,MATCH(C207,'Staff Master'!$A$5:$A$24,0)),"")</f>
        <v>Doctor</v>
      </c>
      <c r="G207" s="10" t="s">
        <v>96</v>
      </c>
      <c r="H207" s="17" t="n">
        <f aca="false">IFERROR(INDEX('Shift Master'!$C$5:$C$16,MATCH(G207,'Shift Master'!$A$5:$A$16,0)),"")</f>
        <v>0.375</v>
      </c>
      <c r="I207" s="17" t="n">
        <f aca="false">IFERROR(INDEX('Shift Master'!$D$5:$D$16,MATCH(G207,'Shift Master'!$A$5:$A$16,0)),"")</f>
        <v>0.708333333333333</v>
      </c>
      <c r="J207" s="16" t="n">
        <f aca="false">IFERROR(INDEX('Shift Master'!$E$5:$E$16,MATCH(G207,'Shift Master'!$A$5:$A$16,0)),"")</f>
        <v>60</v>
      </c>
      <c r="K207" s="16" t="n">
        <f aca="false">IFERROR(INDEX('Shift Master'!$G$5:$G$16,MATCH(G207,'Shift Master'!$A$5:$A$16,0)),0)</f>
        <v>7</v>
      </c>
      <c r="L207" s="16" t="s">
        <v>228</v>
      </c>
      <c r="M207" s="16" t="s">
        <v>229</v>
      </c>
      <c r="N207" s="16" t="str">
        <f aca="false">IF(COUNTIFS('Staffing Coverage'!$A$5:$A$12,E207,'Staffing Coverage'!$B$5:$B$12,G207)=0,"",IF(COUNTIFS($A$5:$A$10004,A207,$E$5:$E$10004,E207,$G$5:$G$10004,G207)&lt;INDEX('Staffing Coverage'!$C$5:$C$12,MATCH(1,('Staffing Coverage'!$A$5:$A$12=E207)*('Staffing Coverage'!$B$5:$B$12=G207),0)),"SHORT","OK"))</f>
        <v/>
      </c>
    </row>
    <row r="208" customFormat="false" ht="15" hidden="false" customHeight="false" outlineLevel="0" collapsed="false">
      <c r="A208" s="15" t="n">
        <v>46306</v>
      </c>
      <c r="B208" s="16" t="str">
        <f aca="false">TEXT(A208,"ddd")</f>
        <v>Sun</v>
      </c>
      <c r="C208" s="10" t="s">
        <v>146</v>
      </c>
      <c r="D208" s="16" t="str">
        <f aca="false">IFERROR(INDEX('Staff Master'!$B$5:$B$24,MATCH(C208,'Staff Master'!$A$5:$A$24,0)),"")</f>
        <v>Dr. Lina Abboud</v>
      </c>
      <c r="E208" s="16" t="str">
        <f aca="false">IFERROR(INDEX('Staff Master'!$D$5:$D$24,MATCH(C208,'Staff Master'!$A$5:$A$24,0)),"")</f>
        <v>Dental</v>
      </c>
      <c r="F208" s="16" t="str">
        <f aca="false">IFERROR(INDEX('Staff Master'!$E$5:$E$24,MATCH(C208,'Staff Master'!$A$5:$A$24,0)),"")</f>
        <v>Dentist</v>
      </c>
      <c r="G208" s="10" t="s">
        <v>96</v>
      </c>
      <c r="H208" s="17" t="n">
        <f aca="false">IFERROR(INDEX('Shift Master'!$C$5:$C$16,MATCH(G208,'Shift Master'!$A$5:$A$16,0)),"")</f>
        <v>0.375</v>
      </c>
      <c r="I208" s="17" t="n">
        <f aca="false">IFERROR(INDEX('Shift Master'!$D$5:$D$16,MATCH(G208,'Shift Master'!$A$5:$A$16,0)),"")</f>
        <v>0.708333333333333</v>
      </c>
      <c r="J208" s="16" t="n">
        <f aca="false">IFERROR(INDEX('Shift Master'!$E$5:$E$16,MATCH(G208,'Shift Master'!$A$5:$A$16,0)),"")</f>
        <v>60</v>
      </c>
      <c r="K208" s="16" t="n">
        <f aca="false">IFERROR(INDEX('Shift Master'!$G$5:$G$16,MATCH(G208,'Shift Master'!$A$5:$A$16,0)),0)</f>
        <v>7</v>
      </c>
      <c r="L208" s="16" t="s">
        <v>228</v>
      </c>
      <c r="M208" s="16" t="s">
        <v>229</v>
      </c>
      <c r="N208" s="16" t="str">
        <f aca="false">IF(COUNTIFS('Staffing Coverage'!$A$5:$A$12,E208,'Staffing Coverage'!$B$5:$B$12,G208)=0,"",IF(COUNTIFS($A$5:$A$10004,A208,$E$5:$E$10004,E208,$G$5:$G$10004,G208)&lt;INDEX('Staffing Coverage'!$C$5:$C$12,MATCH(1,('Staffing Coverage'!$A$5:$A$12=E208)*('Staffing Coverage'!$B$5:$B$12=G208),0)),"SHORT","OK"))</f>
        <v/>
      </c>
    </row>
    <row r="209" customFormat="false" ht="15" hidden="false" customHeight="false" outlineLevel="0" collapsed="false">
      <c r="A209" s="15" t="n">
        <v>46306</v>
      </c>
      <c r="B209" s="16" t="str">
        <f aca="false">TEXT(A209,"ddd")</f>
        <v>Sun</v>
      </c>
      <c r="C209" s="10" t="s">
        <v>150</v>
      </c>
      <c r="D209" s="16" t="str">
        <f aca="false">IFERROR(INDEX('Staff Master'!$B$5:$B$24,MATCH(C209,'Staff Master'!$A$5:$A$24,0)),"")</f>
        <v>Dr. Farah Idris</v>
      </c>
      <c r="E209" s="16" t="str">
        <f aca="false">IFERROR(INDEX('Staff Master'!$D$5:$D$24,MATCH(C209,'Staff Master'!$A$5:$A$24,0)),"")</f>
        <v>Dental</v>
      </c>
      <c r="F209" s="16" t="str">
        <f aca="false">IFERROR(INDEX('Staff Master'!$E$5:$E$24,MATCH(C209,'Staff Master'!$A$5:$A$24,0)),"")</f>
        <v>Dentist</v>
      </c>
      <c r="G209" s="10" t="s">
        <v>97</v>
      </c>
      <c r="H209" s="17" t="n">
        <f aca="false">IFERROR(INDEX('Shift Master'!$C$5:$C$16,MATCH(G209,'Shift Master'!$A$5:$A$16,0)),"")</f>
        <v>0</v>
      </c>
      <c r="I209" s="17" t="n">
        <f aca="false">IFERROR(INDEX('Shift Master'!$D$5:$D$16,MATCH(G209,'Shift Master'!$A$5:$A$16,0)),"")</f>
        <v>0</v>
      </c>
      <c r="J209" s="16" t="n">
        <f aca="false">IFERROR(INDEX('Shift Master'!$E$5:$E$16,MATCH(G209,'Shift Master'!$A$5:$A$16,0)),"")</f>
        <v>0</v>
      </c>
      <c r="K209" s="16" t="n">
        <f aca="false">IFERROR(INDEX('Shift Master'!$G$5:$G$16,MATCH(G209,'Shift Master'!$A$5:$A$16,0)),0)</f>
        <v>0</v>
      </c>
      <c r="L209" s="16" t="s">
        <v>228</v>
      </c>
      <c r="M209" s="16" t="s">
        <v>229</v>
      </c>
      <c r="N209" s="16" t="str">
        <f aca="false">IF(COUNTIFS('Staffing Coverage'!$A$5:$A$12,E209,'Staffing Coverage'!$B$5:$B$12,G209)=0,"",IF(COUNTIFS($A$5:$A$10004,A209,$E$5:$E$10004,E209,$G$5:$G$10004,G209)&lt;INDEX('Staffing Coverage'!$C$5:$C$12,MATCH(1,('Staffing Coverage'!$A$5:$A$12=E209)*('Staffing Coverage'!$B$5:$B$12=G209),0)),"SHORT","OK"))</f>
        <v/>
      </c>
    </row>
    <row r="210" customFormat="false" ht="15" hidden="false" customHeight="false" outlineLevel="0" collapsed="false">
      <c r="A210" s="15" t="n">
        <v>46306</v>
      </c>
      <c r="B210" s="16" t="str">
        <f aca="false">TEXT(A210,"ddd")</f>
        <v>Sun</v>
      </c>
      <c r="C210" s="10" t="s">
        <v>157</v>
      </c>
      <c r="D210" s="16" t="str">
        <f aca="false">IFERROR(INDEX('Staff Master'!$B$5:$B$24,MATCH(C210,'Staff Master'!$A$5:$A$24,0)),"")</f>
        <v>Dr. Youssef Nassar</v>
      </c>
      <c r="E210" s="16" t="str">
        <f aca="false">IFERROR(INDEX('Staff Master'!$D$5:$D$24,MATCH(C210,'Staff Master'!$A$5:$A$24,0)),"")</f>
        <v>General Practice</v>
      </c>
      <c r="F210" s="16" t="str">
        <f aca="false">IFERROR(INDEX('Staff Master'!$E$5:$E$24,MATCH(C210,'Staff Master'!$A$5:$A$24,0)),"")</f>
        <v>General Practitioner</v>
      </c>
      <c r="G210" s="10" t="s">
        <v>96</v>
      </c>
      <c r="H210" s="17" t="n">
        <f aca="false">IFERROR(INDEX('Shift Master'!$C$5:$C$16,MATCH(G210,'Shift Master'!$A$5:$A$16,0)),"")</f>
        <v>0.375</v>
      </c>
      <c r="I210" s="17" t="n">
        <f aca="false">IFERROR(INDEX('Shift Master'!$D$5:$D$16,MATCH(G210,'Shift Master'!$A$5:$A$16,0)),"")</f>
        <v>0.708333333333333</v>
      </c>
      <c r="J210" s="16" t="n">
        <f aca="false">IFERROR(INDEX('Shift Master'!$E$5:$E$16,MATCH(G210,'Shift Master'!$A$5:$A$16,0)),"")</f>
        <v>60</v>
      </c>
      <c r="K210" s="16" t="n">
        <f aca="false">IFERROR(INDEX('Shift Master'!$G$5:$G$16,MATCH(G210,'Shift Master'!$A$5:$A$16,0)),0)</f>
        <v>7</v>
      </c>
      <c r="L210" s="16" t="s">
        <v>228</v>
      </c>
      <c r="M210" s="16" t="s">
        <v>229</v>
      </c>
      <c r="N210" s="16" t="str">
        <f aca="false">IF(COUNTIFS('Staffing Coverage'!$A$5:$A$12,E210,'Staffing Coverage'!$B$5:$B$12,G210)=0,"",IF(COUNTIFS($A$5:$A$10004,A210,$E$5:$E$10004,E210,$G$5:$G$10004,G210)&lt;INDEX('Staffing Coverage'!$C$5:$C$12,MATCH(1,('Staffing Coverage'!$A$5:$A$12=E210)*('Staffing Coverage'!$B$5:$B$12=G210),0)),"SHORT","OK"))</f>
        <v/>
      </c>
    </row>
    <row r="211" customFormat="false" ht="15" hidden="false" customHeight="false" outlineLevel="0" collapsed="false">
      <c r="A211" s="15" t="n">
        <v>46306</v>
      </c>
      <c r="B211" s="16" t="str">
        <f aca="false">TEXT(A211,"ddd")</f>
        <v>Sun</v>
      </c>
      <c r="C211" s="10" t="s">
        <v>161</v>
      </c>
      <c r="D211" s="16" t="str">
        <f aca="false">IFERROR(INDEX('Staff Master'!$B$5:$B$24,MATCH(C211,'Staff Master'!$A$5:$A$24,0)),"")</f>
        <v>Grace Fernandez</v>
      </c>
      <c r="E211" s="16" t="str">
        <f aca="false">IFERROR(INDEX('Staff Master'!$D$5:$D$24,MATCH(C211,'Staff Master'!$A$5:$A$24,0)),"")</f>
        <v>Nursing</v>
      </c>
      <c r="F211" s="16" t="str">
        <f aca="false">IFERROR(INDEX('Staff Master'!$E$5:$E$24,MATCH(C211,'Staff Master'!$A$5:$A$24,0)),"")</f>
        <v>Nurse</v>
      </c>
      <c r="G211" s="10" t="s">
        <v>97</v>
      </c>
      <c r="H211" s="17" t="n">
        <f aca="false">IFERROR(INDEX('Shift Master'!$C$5:$C$16,MATCH(G211,'Shift Master'!$A$5:$A$16,0)),"")</f>
        <v>0</v>
      </c>
      <c r="I211" s="17" t="n">
        <f aca="false">IFERROR(INDEX('Shift Master'!$D$5:$D$16,MATCH(G211,'Shift Master'!$A$5:$A$16,0)),"")</f>
        <v>0</v>
      </c>
      <c r="J211" s="16" t="n">
        <f aca="false">IFERROR(INDEX('Shift Master'!$E$5:$E$16,MATCH(G211,'Shift Master'!$A$5:$A$16,0)),"")</f>
        <v>0</v>
      </c>
      <c r="K211" s="16" t="n">
        <f aca="false">IFERROR(INDEX('Shift Master'!$G$5:$G$16,MATCH(G211,'Shift Master'!$A$5:$A$16,0)),0)</f>
        <v>0</v>
      </c>
      <c r="L211" s="16" t="s">
        <v>228</v>
      </c>
      <c r="M211" s="16" t="s">
        <v>229</v>
      </c>
      <c r="N211" s="16" t="str">
        <f aca="false">IF(COUNTIFS('Staffing Coverage'!$A$5:$A$12,E211,'Staffing Coverage'!$B$5:$B$12,G211)=0,"",IF(COUNTIFS($A$5:$A$10004,A211,$E$5:$E$10004,E211,$G$5:$G$10004,G211)&lt;INDEX('Staffing Coverage'!$C$5:$C$12,MATCH(1,('Staffing Coverage'!$A$5:$A$12=E211)*('Staffing Coverage'!$B$5:$B$12=G211),0)),"SHORT","OK"))</f>
        <v/>
      </c>
    </row>
    <row r="212" customFormat="false" ht="15" hidden="false" customHeight="false" outlineLevel="0" collapsed="false">
      <c r="A212" s="15" t="n">
        <v>46306</v>
      </c>
      <c r="B212" s="16" t="str">
        <f aca="false">TEXT(A212,"ddd")</f>
        <v>Sun</v>
      </c>
      <c r="C212" s="10" t="s">
        <v>165</v>
      </c>
      <c r="D212" s="16" t="str">
        <f aca="false">IFERROR(INDEX('Staff Master'!$B$5:$B$24,MATCH(C212,'Staff Master'!$A$5:$A$24,0)),"")</f>
        <v>Priya Nair</v>
      </c>
      <c r="E212" s="16" t="str">
        <f aca="false">IFERROR(INDEX('Staff Master'!$D$5:$D$24,MATCH(C212,'Staff Master'!$A$5:$A$24,0)),"")</f>
        <v>Nursing</v>
      </c>
      <c r="F212" s="16" t="str">
        <f aca="false">IFERROR(INDEX('Staff Master'!$E$5:$E$24,MATCH(C212,'Staff Master'!$A$5:$A$24,0)),"")</f>
        <v>Nurse</v>
      </c>
      <c r="G212" s="10" t="s">
        <v>90</v>
      </c>
      <c r="H212" s="17" t="n">
        <f aca="false">IFERROR(INDEX('Shift Master'!$C$5:$C$16,MATCH(G212,'Shift Master'!$A$5:$A$16,0)),"")</f>
        <v>0.375</v>
      </c>
      <c r="I212" s="17" t="n">
        <f aca="false">IFERROR(INDEX('Shift Master'!$D$5:$D$16,MATCH(G212,'Shift Master'!$A$5:$A$16,0)),"")</f>
        <v>0.75</v>
      </c>
      <c r="J212" s="16" t="n">
        <f aca="false">IFERROR(INDEX('Shift Master'!$E$5:$E$16,MATCH(G212,'Shift Master'!$A$5:$A$16,0)),"")</f>
        <v>60</v>
      </c>
      <c r="K212" s="16" t="n">
        <f aca="false">IFERROR(INDEX('Shift Master'!$G$5:$G$16,MATCH(G212,'Shift Master'!$A$5:$A$16,0)),0)</f>
        <v>8</v>
      </c>
      <c r="L212" s="16" t="s">
        <v>228</v>
      </c>
      <c r="M212" s="16" t="s">
        <v>229</v>
      </c>
      <c r="N212" s="16" t="str">
        <f aca="false">IF(COUNTIFS('Staffing Coverage'!$A$5:$A$12,E212,'Staffing Coverage'!$B$5:$B$12,G212)=0,"",IF(COUNTIFS($A$5:$A$10004,A212,$E$5:$E$10004,E212,$G$5:$G$10004,G212)&lt;INDEX('Staffing Coverage'!$C$5:$C$12,MATCH(1,('Staffing Coverage'!$A$5:$A$12=E212)*('Staffing Coverage'!$B$5:$B$12=G212),0)),"SHORT","OK"))</f>
        <v>OK</v>
      </c>
    </row>
    <row r="213" customFormat="false" ht="15" hidden="false" customHeight="false" outlineLevel="0" collapsed="false">
      <c r="A213" s="15" t="n">
        <v>46306</v>
      </c>
      <c r="B213" s="16" t="str">
        <f aca="false">TEXT(A213,"ddd")</f>
        <v>Sun</v>
      </c>
      <c r="C213" s="10" t="s">
        <v>170</v>
      </c>
      <c r="D213" s="16" t="str">
        <f aca="false">IFERROR(INDEX('Staff Master'!$B$5:$B$24,MATCH(C213,'Staff Master'!$A$5:$A$24,0)),"")</f>
        <v>Maria Santos</v>
      </c>
      <c r="E213" s="16" t="str">
        <f aca="false">IFERROR(INDEX('Staff Master'!$D$5:$D$24,MATCH(C213,'Staff Master'!$A$5:$A$24,0)),"")</f>
        <v>Nursing</v>
      </c>
      <c r="F213" s="16" t="str">
        <f aca="false">IFERROR(INDEX('Staff Master'!$E$5:$E$24,MATCH(C213,'Staff Master'!$A$5:$A$24,0)),"")</f>
        <v>Nurse</v>
      </c>
      <c r="G213" s="10" t="s">
        <v>94</v>
      </c>
      <c r="H213" s="17" t="n">
        <f aca="false">IFERROR(INDEX('Shift Master'!$C$5:$C$16,MATCH(G213,'Shift Master'!$A$5:$A$16,0)),"")</f>
        <v>0.541666666666667</v>
      </c>
      <c r="I213" s="17" t="n">
        <f aca="false">IFERROR(INDEX('Shift Master'!$D$5:$D$16,MATCH(G213,'Shift Master'!$A$5:$A$16,0)),"")</f>
        <v>0.916666666666667</v>
      </c>
      <c r="J213" s="16" t="n">
        <f aca="false">IFERROR(INDEX('Shift Master'!$E$5:$E$16,MATCH(G213,'Shift Master'!$A$5:$A$16,0)),"")</f>
        <v>60</v>
      </c>
      <c r="K213" s="16" t="n">
        <f aca="false">IFERROR(INDEX('Shift Master'!$G$5:$G$16,MATCH(G213,'Shift Master'!$A$5:$A$16,0)),0)</f>
        <v>8</v>
      </c>
      <c r="L213" s="16" t="s">
        <v>228</v>
      </c>
      <c r="M213" s="16" t="s">
        <v>229</v>
      </c>
      <c r="N213" s="16" t="str">
        <f aca="false">IF(COUNTIFS('Staffing Coverage'!$A$5:$A$12,E213,'Staffing Coverage'!$B$5:$B$12,G213)=0,"",IF(COUNTIFS($A$5:$A$10004,A213,$E$5:$E$10004,E213,$G$5:$G$10004,G213)&lt;INDEX('Staffing Coverage'!$C$5:$C$12,MATCH(1,('Staffing Coverage'!$A$5:$A$12=E213)*('Staffing Coverage'!$B$5:$B$12=G213),0)),"SHORT","OK"))</f>
        <v/>
      </c>
    </row>
    <row r="214" customFormat="false" ht="15" hidden="false" customHeight="false" outlineLevel="0" collapsed="false">
      <c r="A214" s="15" t="n">
        <v>46306</v>
      </c>
      <c r="B214" s="16" t="str">
        <f aca="false">TEXT(A214,"ddd")</f>
        <v>Sun</v>
      </c>
      <c r="C214" s="10" t="s">
        <v>174</v>
      </c>
      <c r="D214" s="16" t="str">
        <f aca="false">IFERROR(INDEX('Staff Master'!$B$5:$B$24,MATCH(C214,'Staff Master'!$A$5:$A$24,0)),"")</f>
        <v>Aisha Al Shamsi</v>
      </c>
      <c r="E214" s="16" t="str">
        <f aca="false">IFERROR(INDEX('Staff Master'!$D$5:$D$24,MATCH(C214,'Staff Master'!$A$5:$A$24,0)),"")</f>
        <v>Reception</v>
      </c>
      <c r="F214" s="16" t="str">
        <f aca="false">IFERROR(INDEX('Staff Master'!$E$5:$E$24,MATCH(C214,'Staff Master'!$A$5:$A$24,0)),"")</f>
        <v>Receptionist</v>
      </c>
      <c r="G214" s="10" t="s">
        <v>87</v>
      </c>
      <c r="H214" s="17" t="n">
        <f aca="false">IFERROR(INDEX('Shift Master'!$C$5:$C$16,MATCH(G214,'Shift Master'!$A$5:$A$16,0)),"")</f>
        <v>0.333333333333333</v>
      </c>
      <c r="I214" s="17" t="n">
        <f aca="false">IFERROR(INDEX('Shift Master'!$D$5:$D$16,MATCH(G214,'Shift Master'!$A$5:$A$16,0)),"")</f>
        <v>0.708333333333333</v>
      </c>
      <c r="J214" s="16" t="n">
        <f aca="false">IFERROR(INDEX('Shift Master'!$E$5:$E$16,MATCH(G214,'Shift Master'!$A$5:$A$16,0)),"")</f>
        <v>60</v>
      </c>
      <c r="K214" s="16" t="n">
        <f aca="false">IFERROR(INDEX('Shift Master'!$G$5:$G$16,MATCH(G214,'Shift Master'!$A$5:$A$16,0)),0)</f>
        <v>8</v>
      </c>
      <c r="L214" s="16" t="s">
        <v>228</v>
      </c>
      <c r="M214" s="16" t="s">
        <v>229</v>
      </c>
      <c r="N214" s="16" t="str">
        <f aca="false">IF(COUNTIFS('Staffing Coverage'!$A$5:$A$12,E214,'Staffing Coverage'!$B$5:$B$12,G214)=0,"",IF(COUNTIFS($A$5:$A$10004,A214,$E$5:$E$10004,E214,$G$5:$G$10004,G214)&lt;INDEX('Staffing Coverage'!$C$5:$C$12,MATCH(1,('Staffing Coverage'!$A$5:$A$12=E214)*('Staffing Coverage'!$B$5:$B$12=G214),0)),"SHORT","OK"))</f>
        <v>SHORT</v>
      </c>
    </row>
    <row r="215" customFormat="false" ht="15" hidden="false" customHeight="false" outlineLevel="0" collapsed="false">
      <c r="A215" s="15" t="n">
        <v>46306</v>
      </c>
      <c r="B215" s="16" t="str">
        <f aca="false">TEXT(A215,"ddd")</f>
        <v>Sun</v>
      </c>
      <c r="C215" s="10" t="s">
        <v>179</v>
      </c>
      <c r="D215" s="16" t="str">
        <f aca="false">IFERROR(INDEX('Staff Master'!$B$5:$B$24,MATCH(C215,'Staff Master'!$A$5:$A$24,0)),"")</f>
        <v>John Dsouza</v>
      </c>
      <c r="E215" s="16" t="str">
        <f aca="false">IFERROR(INDEX('Staff Master'!$D$5:$D$24,MATCH(C215,'Staff Master'!$A$5:$A$24,0)),"")</f>
        <v>Reception</v>
      </c>
      <c r="F215" s="16" t="str">
        <f aca="false">IFERROR(INDEX('Staff Master'!$E$5:$E$24,MATCH(C215,'Staff Master'!$A$5:$A$24,0)),"")</f>
        <v>Receptionist</v>
      </c>
      <c r="G215" s="10" t="s">
        <v>90</v>
      </c>
      <c r="H215" s="17" t="n">
        <f aca="false">IFERROR(INDEX('Shift Master'!$C$5:$C$16,MATCH(G215,'Shift Master'!$A$5:$A$16,0)),"")</f>
        <v>0.375</v>
      </c>
      <c r="I215" s="17" t="n">
        <f aca="false">IFERROR(INDEX('Shift Master'!$D$5:$D$16,MATCH(G215,'Shift Master'!$A$5:$A$16,0)),"")</f>
        <v>0.75</v>
      </c>
      <c r="J215" s="16" t="n">
        <f aca="false">IFERROR(INDEX('Shift Master'!$E$5:$E$16,MATCH(G215,'Shift Master'!$A$5:$A$16,0)),"")</f>
        <v>60</v>
      </c>
      <c r="K215" s="16" t="n">
        <f aca="false">IFERROR(INDEX('Shift Master'!$G$5:$G$16,MATCH(G215,'Shift Master'!$A$5:$A$16,0)),0)</f>
        <v>8</v>
      </c>
      <c r="L215" s="16" t="s">
        <v>228</v>
      </c>
      <c r="M215" s="16" t="s">
        <v>229</v>
      </c>
      <c r="N215" s="16" t="str">
        <f aca="false">IF(COUNTIFS('Staffing Coverage'!$A$5:$A$12,E215,'Staffing Coverage'!$B$5:$B$12,G215)=0,"",IF(COUNTIFS($A$5:$A$10004,A215,$E$5:$E$10004,E215,$G$5:$G$10004,G215)&lt;INDEX('Staffing Coverage'!$C$5:$C$12,MATCH(1,('Staffing Coverage'!$A$5:$A$12=E215)*('Staffing Coverage'!$B$5:$B$12=G215),0)),"SHORT","OK"))</f>
        <v>SHORT</v>
      </c>
    </row>
    <row r="216" customFormat="false" ht="15" hidden="false" customHeight="false" outlineLevel="0" collapsed="false">
      <c r="A216" s="15" t="n">
        <v>46306</v>
      </c>
      <c r="B216" s="16" t="str">
        <f aca="false">TEXT(A216,"ddd")</f>
        <v>Sun</v>
      </c>
      <c r="C216" s="10" t="s">
        <v>184</v>
      </c>
      <c r="D216" s="16" t="str">
        <f aca="false">IFERROR(INDEX('Staff Master'!$B$5:$B$24,MATCH(C216,'Staff Master'!$A$5:$A$24,0)),"")</f>
        <v>Fatima Zahra</v>
      </c>
      <c r="E216" s="16" t="str">
        <f aca="false">IFERROR(INDEX('Staff Master'!$D$5:$D$24,MATCH(C216,'Staff Master'!$A$5:$A$24,0)),"")</f>
        <v>Reception</v>
      </c>
      <c r="F216" s="16" t="str">
        <f aca="false">IFERROR(INDEX('Staff Master'!$E$5:$E$24,MATCH(C216,'Staff Master'!$A$5:$A$24,0)),"")</f>
        <v>Receptionist</v>
      </c>
      <c r="G216" s="10" t="s">
        <v>94</v>
      </c>
      <c r="H216" s="17" t="n">
        <f aca="false">IFERROR(INDEX('Shift Master'!$C$5:$C$16,MATCH(G216,'Shift Master'!$A$5:$A$16,0)),"")</f>
        <v>0.541666666666667</v>
      </c>
      <c r="I216" s="17" t="n">
        <f aca="false">IFERROR(INDEX('Shift Master'!$D$5:$D$16,MATCH(G216,'Shift Master'!$A$5:$A$16,0)),"")</f>
        <v>0.916666666666667</v>
      </c>
      <c r="J216" s="16" t="n">
        <f aca="false">IFERROR(INDEX('Shift Master'!$E$5:$E$16,MATCH(G216,'Shift Master'!$A$5:$A$16,0)),"")</f>
        <v>60</v>
      </c>
      <c r="K216" s="16" t="n">
        <f aca="false">IFERROR(INDEX('Shift Master'!$G$5:$G$16,MATCH(G216,'Shift Master'!$A$5:$A$16,0)),0)</f>
        <v>8</v>
      </c>
      <c r="L216" s="16" t="s">
        <v>228</v>
      </c>
      <c r="M216" s="16" t="s">
        <v>229</v>
      </c>
      <c r="N216" s="16" t="str">
        <f aca="false">IF(COUNTIFS('Staffing Coverage'!$A$5:$A$12,E216,'Staffing Coverage'!$B$5:$B$12,G216)=0,"",IF(COUNTIFS($A$5:$A$10004,A216,$E$5:$E$10004,E216,$G$5:$G$10004,G216)&lt;INDEX('Staffing Coverage'!$C$5:$C$12,MATCH(1,('Staffing Coverage'!$A$5:$A$12=E216)*('Staffing Coverage'!$B$5:$B$12=G216),0)),"SHORT","OK"))</f>
        <v>OK</v>
      </c>
    </row>
    <row r="217" customFormat="false" ht="15" hidden="false" customHeight="false" outlineLevel="0" collapsed="false">
      <c r="A217" s="15" t="n">
        <v>46306</v>
      </c>
      <c r="B217" s="16" t="str">
        <f aca="false">TEXT(A217,"ddd")</f>
        <v>Sun</v>
      </c>
      <c r="C217" s="10" t="s">
        <v>188</v>
      </c>
      <c r="D217" s="16" t="str">
        <f aca="false">IFERROR(INDEX('Staff Master'!$B$5:$B$24,MATCH(C217,'Staff Master'!$A$5:$A$24,0)),"")</f>
        <v>Ana Reyes</v>
      </c>
      <c r="E217" s="16" t="str">
        <f aca="false">IFERROR(INDEX('Staff Master'!$D$5:$D$24,MATCH(C217,'Staff Master'!$A$5:$A$24,0)),"")</f>
        <v>Dental</v>
      </c>
      <c r="F217" s="16" t="str">
        <f aca="false">IFERROR(INDEX('Staff Master'!$E$5:$E$24,MATCH(C217,'Staff Master'!$A$5:$A$24,0)),"")</f>
        <v>Dental Assistant</v>
      </c>
      <c r="G217" s="10" t="s">
        <v>97</v>
      </c>
      <c r="H217" s="17" t="n">
        <f aca="false">IFERROR(INDEX('Shift Master'!$C$5:$C$16,MATCH(G217,'Shift Master'!$A$5:$A$16,0)),"")</f>
        <v>0</v>
      </c>
      <c r="I217" s="17" t="n">
        <f aca="false">IFERROR(INDEX('Shift Master'!$D$5:$D$16,MATCH(G217,'Shift Master'!$A$5:$A$16,0)),"")</f>
        <v>0</v>
      </c>
      <c r="J217" s="16" t="n">
        <f aca="false">IFERROR(INDEX('Shift Master'!$E$5:$E$16,MATCH(G217,'Shift Master'!$A$5:$A$16,0)),"")</f>
        <v>0</v>
      </c>
      <c r="K217" s="16" t="n">
        <f aca="false">IFERROR(INDEX('Shift Master'!$G$5:$G$16,MATCH(G217,'Shift Master'!$A$5:$A$16,0)),0)</f>
        <v>0</v>
      </c>
      <c r="L217" s="16" t="s">
        <v>228</v>
      </c>
      <c r="M217" s="16" t="s">
        <v>229</v>
      </c>
      <c r="N217" s="16" t="str">
        <f aca="false">IF(COUNTIFS('Staffing Coverage'!$A$5:$A$12,E217,'Staffing Coverage'!$B$5:$B$12,G217)=0,"",IF(COUNTIFS($A$5:$A$10004,A217,$E$5:$E$10004,E217,$G$5:$G$10004,G217)&lt;INDEX('Staffing Coverage'!$C$5:$C$12,MATCH(1,('Staffing Coverage'!$A$5:$A$12=E217)*('Staffing Coverage'!$B$5:$B$12=G217),0)),"SHORT","OK"))</f>
        <v/>
      </c>
    </row>
    <row r="218" customFormat="false" ht="15" hidden="false" customHeight="false" outlineLevel="0" collapsed="false">
      <c r="A218" s="15" t="n">
        <v>46306</v>
      </c>
      <c r="B218" s="16" t="str">
        <f aca="false">TEXT(A218,"ddd")</f>
        <v>Sun</v>
      </c>
      <c r="C218" s="10" t="s">
        <v>192</v>
      </c>
      <c r="D218" s="16" t="str">
        <f aca="false">IFERROR(INDEX('Staff Master'!$B$5:$B$24,MATCH(C218,'Staff Master'!$A$5:$A$24,0)),"")</f>
        <v>Noor Hassan</v>
      </c>
      <c r="E218" s="16" t="str">
        <f aca="false">IFERROR(INDEX('Staff Master'!$D$5:$D$24,MATCH(C218,'Staff Master'!$A$5:$A$24,0)),"")</f>
        <v>Dental</v>
      </c>
      <c r="F218" s="16" t="str">
        <f aca="false">IFERROR(INDEX('Staff Master'!$E$5:$E$24,MATCH(C218,'Staff Master'!$A$5:$A$24,0)),"")</f>
        <v>Dental Assistant</v>
      </c>
      <c r="G218" s="10" t="s">
        <v>90</v>
      </c>
      <c r="H218" s="17" t="n">
        <f aca="false">IFERROR(INDEX('Shift Master'!$C$5:$C$16,MATCH(G218,'Shift Master'!$A$5:$A$16,0)),"")</f>
        <v>0.375</v>
      </c>
      <c r="I218" s="17" t="n">
        <f aca="false">IFERROR(INDEX('Shift Master'!$D$5:$D$16,MATCH(G218,'Shift Master'!$A$5:$A$16,0)),"")</f>
        <v>0.75</v>
      </c>
      <c r="J218" s="16" t="n">
        <f aca="false">IFERROR(INDEX('Shift Master'!$E$5:$E$16,MATCH(G218,'Shift Master'!$A$5:$A$16,0)),"")</f>
        <v>60</v>
      </c>
      <c r="K218" s="16" t="n">
        <f aca="false">IFERROR(INDEX('Shift Master'!$G$5:$G$16,MATCH(G218,'Shift Master'!$A$5:$A$16,0)),0)</f>
        <v>8</v>
      </c>
      <c r="L218" s="16" t="s">
        <v>228</v>
      </c>
      <c r="M218" s="16" t="s">
        <v>229</v>
      </c>
      <c r="N218" s="16" t="str">
        <f aca="false">IF(COUNTIFS('Staffing Coverage'!$A$5:$A$12,E218,'Staffing Coverage'!$B$5:$B$12,G218)=0,"",IF(COUNTIFS($A$5:$A$10004,A218,$E$5:$E$10004,E218,$G$5:$G$10004,G218)&lt;INDEX('Staffing Coverage'!$C$5:$C$12,MATCH(1,('Staffing Coverage'!$A$5:$A$12=E218)*('Staffing Coverage'!$B$5:$B$12=G218),0)),"SHORT","OK"))</f>
        <v/>
      </c>
    </row>
    <row r="219" customFormat="false" ht="15" hidden="false" customHeight="false" outlineLevel="0" collapsed="false">
      <c r="A219" s="15" t="n">
        <v>46306</v>
      </c>
      <c r="B219" s="16" t="str">
        <f aca="false">TEXT(A219,"ddd")</f>
        <v>Sun</v>
      </c>
      <c r="C219" s="10" t="s">
        <v>196</v>
      </c>
      <c r="D219" s="16" t="str">
        <f aca="false">IFERROR(INDEX('Staff Master'!$B$5:$B$24,MATCH(C219,'Staff Master'!$A$5:$A$24,0)),"")</f>
        <v>Karan Mehta</v>
      </c>
      <c r="E219" s="16" t="str">
        <f aca="false">IFERROR(INDEX('Staff Master'!$D$5:$D$24,MATCH(C219,'Staff Master'!$A$5:$A$24,0)),"")</f>
        <v>Laser</v>
      </c>
      <c r="F219" s="16" t="str">
        <f aca="false">IFERROR(INDEX('Staff Master'!$E$5:$E$24,MATCH(C219,'Staff Master'!$A$5:$A$24,0)),"")</f>
        <v>Laser Technician</v>
      </c>
      <c r="G219" s="10" t="s">
        <v>90</v>
      </c>
      <c r="H219" s="17" t="n">
        <f aca="false">IFERROR(INDEX('Shift Master'!$C$5:$C$16,MATCH(G219,'Shift Master'!$A$5:$A$16,0)),"")</f>
        <v>0.375</v>
      </c>
      <c r="I219" s="17" t="n">
        <f aca="false">IFERROR(INDEX('Shift Master'!$D$5:$D$16,MATCH(G219,'Shift Master'!$A$5:$A$16,0)),"")</f>
        <v>0.75</v>
      </c>
      <c r="J219" s="16" t="n">
        <f aca="false">IFERROR(INDEX('Shift Master'!$E$5:$E$16,MATCH(G219,'Shift Master'!$A$5:$A$16,0)),"")</f>
        <v>60</v>
      </c>
      <c r="K219" s="16" t="n">
        <f aca="false">IFERROR(INDEX('Shift Master'!$G$5:$G$16,MATCH(G219,'Shift Master'!$A$5:$A$16,0)),0)</f>
        <v>8</v>
      </c>
      <c r="L219" s="16" t="s">
        <v>228</v>
      </c>
      <c r="M219" s="16" t="s">
        <v>229</v>
      </c>
      <c r="N219" s="16" t="str">
        <f aca="false">IF(COUNTIFS('Staffing Coverage'!$A$5:$A$12,E219,'Staffing Coverage'!$B$5:$B$12,G219)=0,"",IF(COUNTIFS($A$5:$A$10004,A219,$E$5:$E$10004,E219,$G$5:$G$10004,G219)&lt;INDEX('Staffing Coverage'!$C$5:$C$12,MATCH(1,('Staffing Coverage'!$A$5:$A$12=E219)*('Staffing Coverage'!$B$5:$B$12=G219),0)),"SHORT","OK"))</f>
        <v/>
      </c>
    </row>
    <row r="220" customFormat="false" ht="15" hidden="false" customHeight="false" outlineLevel="0" collapsed="false">
      <c r="A220" s="15" t="n">
        <v>46306</v>
      </c>
      <c r="B220" s="16" t="str">
        <f aca="false">TEXT(A220,"ddd")</f>
        <v>Sun</v>
      </c>
      <c r="C220" s="10" t="s">
        <v>200</v>
      </c>
      <c r="D220" s="16" t="str">
        <f aca="false">IFERROR(INDEX('Staff Master'!$B$5:$B$24,MATCH(C220,'Staff Master'!$A$5:$A$24,0)),"")</f>
        <v>Imran Sheikh</v>
      </c>
      <c r="E220" s="16" t="str">
        <f aca="false">IFERROR(INDEX('Staff Master'!$D$5:$D$24,MATCH(C220,'Staff Master'!$A$5:$A$24,0)),"")</f>
        <v>Dental Laboratory</v>
      </c>
      <c r="F220" s="16" t="str">
        <f aca="false">IFERROR(INDEX('Staff Master'!$E$5:$E$24,MATCH(C220,'Staff Master'!$A$5:$A$24,0)),"")</f>
        <v>Dental Technician</v>
      </c>
      <c r="G220" s="10" t="s">
        <v>87</v>
      </c>
      <c r="H220" s="17" t="n">
        <f aca="false">IFERROR(INDEX('Shift Master'!$C$5:$C$16,MATCH(G220,'Shift Master'!$A$5:$A$16,0)),"")</f>
        <v>0.333333333333333</v>
      </c>
      <c r="I220" s="17" t="n">
        <f aca="false">IFERROR(INDEX('Shift Master'!$D$5:$D$16,MATCH(G220,'Shift Master'!$A$5:$A$16,0)),"")</f>
        <v>0.708333333333333</v>
      </c>
      <c r="J220" s="16" t="n">
        <f aca="false">IFERROR(INDEX('Shift Master'!$E$5:$E$16,MATCH(G220,'Shift Master'!$A$5:$A$16,0)),"")</f>
        <v>60</v>
      </c>
      <c r="K220" s="16" t="n">
        <f aca="false">IFERROR(INDEX('Shift Master'!$G$5:$G$16,MATCH(G220,'Shift Master'!$A$5:$A$16,0)),0)</f>
        <v>8</v>
      </c>
      <c r="L220" s="16" t="s">
        <v>228</v>
      </c>
      <c r="M220" s="16" t="s">
        <v>229</v>
      </c>
      <c r="N220" s="16" t="str">
        <f aca="false">IF(COUNTIFS('Staffing Coverage'!$A$5:$A$12,E220,'Staffing Coverage'!$B$5:$B$12,G220)=0,"",IF(COUNTIFS($A$5:$A$10004,A220,$E$5:$E$10004,E220,$G$5:$G$10004,G220)&lt;INDEX('Staffing Coverage'!$C$5:$C$12,MATCH(1,('Staffing Coverage'!$A$5:$A$12=E220)*('Staffing Coverage'!$B$5:$B$12=G220),0)),"SHORT","OK"))</f>
        <v/>
      </c>
    </row>
    <row r="221" customFormat="false" ht="15" hidden="false" customHeight="false" outlineLevel="0" collapsed="false">
      <c r="A221" s="15" t="n">
        <v>46306</v>
      </c>
      <c r="B221" s="16" t="str">
        <f aca="false">TEXT(A221,"ddd")</f>
        <v>Sun</v>
      </c>
      <c r="C221" s="10" t="s">
        <v>204</v>
      </c>
      <c r="D221" s="16" t="str">
        <f aca="false">IFERROR(INDEX('Staff Master'!$B$5:$B$24,MATCH(C221,'Staff Master'!$A$5:$A$24,0)),"")</f>
        <v>Josephine Cruz</v>
      </c>
      <c r="E221" s="16" t="str">
        <f aca="false">IFERROR(INDEX('Staff Master'!$D$5:$D$24,MATCH(C221,'Staff Master'!$A$5:$A$24,0)),"")</f>
        <v>CSSD</v>
      </c>
      <c r="F221" s="16" t="str">
        <f aca="false">IFERROR(INDEX('Staff Master'!$E$5:$E$24,MATCH(C221,'Staff Master'!$A$5:$A$24,0)),"")</f>
        <v>CSSD Technician</v>
      </c>
      <c r="G221" s="10" t="s">
        <v>97</v>
      </c>
      <c r="H221" s="17" t="n">
        <f aca="false">IFERROR(INDEX('Shift Master'!$C$5:$C$16,MATCH(G221,'Shift Master'!$A$5:$A$16,0)),"")</f>
        <v>0</v>
      </c>
      <c r="I221" s="17" t="n">
        <f aca="false">IFERROR(INDEX('Shift Master'!$D$5:$D$16,MATCH(G221,'Shift Master'!$A$5:$A$16,0)),"")</f>
        <v>0</v>
      </c>
      <c r="J221" s="16" t="n">
        <f aca="false">IFERROR(INDEX('Shift Master'!$E$5:$E$16,MATCH(G221,'Shift Master'!$A$5:$A$16,0)),"")</f>
        <v>0</v>
      </c>
      <c r="K221" s="16" t="n">
        <f aca="false">IFERROR(INDEX('Shift Master'!$G$5:$G$16,MATCH(G221,'Shift Master'!$A$5:$A$16,0)),0)</f>
        <v>0</v>
      </c>
      <c r="L221" s="16" t="s">
        <v>228</v>
      </c>
      <c r="M221" s="16" t="s">
        <v>229</v>
      </c>
      <c r="N221" s="16" t="str">
        <f aca="false">IF(COUNTIFS('Staffing Coverage'!$A$5:$A$12,E221,'Staffing Coverage'!$B$5:$B$12,G221)=0,"",IF(COUNTIFS($A$5:$A$10004,A221,$E$5:$E$10004,E221,$G$5:$G$10004,G221)&lt;INDEX('Staffing Coverage'!$C$5:$C$12,MATCH(1,('Staffing Coverage'!$A$5:$A$12=E221)*('Staffing Coverage'!$B$5:$B$12=G221),0)),"SHORT","OK"))</f>
        <v/>
      </c>
    </row>
    <row r="222" customFormat="false" ht="15" hidden="false" customHeight="false" outlineLevel="0" collapsed="false">
      <c r="A222" s="15" t="n">
        <v>46306</v>
      </c>
      <c r="B222" s="16" t="str">
        <f aca="false">TEXT(A222,"ddd")</f>
        <v>Sun</v>
      </c>
      <c r="C222" s="10" t="s">
        <v>208</v>
      </c>
      <c r="D222" s="16" t="str">
        <f aca="false">IFERROR(INDEX('Staff Master'!$B$5:$B$24,MATCH(C222,'Staff Master'!$A$5:$A$24,0)),"")</f>
        <v>Rosalyn Tan</v>
      </c>
      <c r="E222" s="16" t="str">
        <f aca="false">IFERROR(INDEX('Staff Master'!$D$5:$D$24,MATCH(C222,'Staff Master'!$A$5:$A$24,0)),"")</f>
        <v>Cleaning</v>
      </c>
      <c r="F222" s="16" t="str">
        <f aca="false">IFERROR(INDEX('Staff Master'!$E$5:$E$24,MATCH(C222,'Staff Master'!$A$5:$A$24,0)),"")</f>
        <v>Cleaner</v>
      </c>
      <c r="G222" s="10" t="s">
        <v>87</v>
      </c>
      <c r="H222" s="17" t="n">
        <f aca="false">IFERROR(INDEX('Shift Master'!$C$5:$C$16,MATCH(G222,'Shift Master'!$A$5:$A$16,0)),"")</f>
        <v>0.333333333333333</v>
      </c>
      <c r="I222" s="17" t="n">
        <f aca="false">IFERROR(INDEX('Shift Master'!$D$5:$D$16,MATCH(G222,'Shift Master'!$A$5:$A$16,0)),"")</f>
        <v>0.708333333333333</v>
      </c>
      <c r="J222" s="16" t="n">
        <f aca="false">IFERROR(INDEX('Shift Master'!$E$5:$E$16,MATCH(G222,'Shift Master'!$A$5:$A$16,0)),"")</f>
        <v>60</v>
      </c>
      <c r="K222" s="16" t="n">
        <f aca="false">IFERROR(INDEX('Shift Master'!$G$5:$G$16,MATCH(G222,'Shift Master'!$A$5:$A$16,0)),0)</f>
        <v>8</v>
      </c>
      <c r="L222" s="16" t="s">
        <v>228</v>
      </c>
      <c r="M222" s="16" t="s">
        <v>229</v>
      </c>
      <c r="N222" s="16" t="str">
        <f aca="false">IF(COUNTIFS('Staffing Coverage'!$A$5:$A$12,E222,'Staffing Coverage'!$B$5:$B$12,G222)=0,"",IF(COUNTIFS($A$5:$A$10004,A222,$E$5:$E$10004,E222,$G$5:$G$10004,G222)&lt;INDEX('Staffing Coverage'!$C$5:$C$12,MATCH(1,('Staffing Coverage'!$A$5:$A$12=E222)*('Staffing Coverage'!$B$5:$B$12=G222),0)),"SHORT","OK"))</f>
        <v>OK</v>
      </c>
    </row>
    <row r="223" customFormat="false" ht="15" hidden="false" customHeight="false" outlineLevel="0" collapsed="false">
      <c r="A223" s="15" t="n">
        <v>46306</v>
      </c>
      <c r="B223" s="16" t="str">
        <f aca="false">TEXT(A223,"ddd")</f>
        <v>Sun</v>
      </c>
      <c r="C223" s="10" t="s">
        <v>212</v>
      </c>
      <c r="D223" s="16" t="str">
        <f aca="false">IFERROR(INDEX('Staff Master'!$B$5:$B$24,MATCH(C223,'Staff Master'!$A$5:$A$24,0)),"")</f>
        <v>Hassan Baig</v>
      </c>
      <c r="E223" s="16" t="str">
        <f aca="false">IFERROR(INDEX('Staff Master'!$D$5:$D$24,MATCH(C223,'Staff Master'!$A$5:$A$24,0)),"")</f>
        <v>Facilities</v>
      </c>
      <c r="F223" s="16" t="str">
        <f aca="false">IFERROR(INDEX('Staff Master'!$E$5:$E$24,MATCH(C223,'Staff Master'!$A$5:$A$24,0)),"")</f>
        <v>Facility Manager</v>
      </c>
      <c r="G223" s="10" t="s">
        <v>90</v>
      </c>
      <c r="H223" s="17" t="n">
        <f aca="false">IFERROR(INDEX('Shift Master'!$C$5:$C$16,MATCH(G223,'Shift Master'!$A$5:$A$16,0)),"")</f>
        <v>0.375</v>
      </c>
      <c r="I223" s="17" t="n">
        <f aca="false">IFERROR(INDEX('Shift Master'!$D$5:$D$16,MATCH(G223,'Shift Master'!$A$5:$A$16,0)),"")</f>
        <v>0.75</v>
      </c>
      <c r="J223" s="16" t="n">
        <f aca="false">IFERROR(INDEX('Shift Master'!$E$5:$E$16,MATCH(G223,'Shift Master'!$A$5:$A$16,0)),"")</f>
        <v>60</v>
      </c>
      <c r="K223" s="16" t="n">
        <f aca="false">IFERROR(INDEX('Shift Master'!$G$5:$G$16,MATCH(G223,'Shift Master'!$A$5:$A$16,0)),0)</f>
        <v>8</v>
      </c>
      <c r="L223" s="16" t="s">
        <v>228</v>
      </c>
      <c r="M223" s="16" t="s">
        <v>229</v>
      </c>
      <c r="N223" s="16" t="str">
        <f aca="false">IF(COUNTIFS('Staffing Coverage'!$A$5:$A$12,E223,'Staffing Coverage'!$B$5:$B$12,G223)=0,"",IF(COUNTIFS($A$5:$A$10004,A223,$E$5:$E$10004,E223,$G$5:$G$10004,G223)&lt;INDEX('Staffing Coverage'!$C$5:$C$12,MATCH(1,('Staffing Coverage'!$A$5:$A$12=E223)*('Staffing Coverage'!$B$5:$B$12=G223),0)),"SHORT","OK"))</f>
        <v/>
      </c>
    </row>
    <row r="224" customFormat="false" ht="15" hidden="false" customHeight="false" outlineLevel="0" collapsed="false">
      <c r="A224" s="15" t="n">
        <v>46306</v>
      </c>
      <c r="B224" s="16" t="str">
        <f aca="false">TEXT(A224,"ddd")</f>
        <v>Sun</v>
      </c>
      <c r="C224" s="10" t="s">
        <v>178</v>
      </c>
      <c r="D224" s="16" t="str">
        <f aca="false">IFERROR(INDEX('Staff Master'!$B$5:$B$24,MATCH(C224,'Staff Master'!$A$5:$A$24,0)),"")</f>
        <v>Meera Pillai</v>
      </c>
      <c r="E224" s="16" t="str">
        <f aca="false">IFERROR(INDEX('Staff Master'!$D$5:$D$24,MATCH(C224,'Staff Master'!$A$5:$A$24,0)),"")</f>
        <v>HR</v>
      </c>
      <c r="F224" s="16" t="str">
        <f aca="false">IFERROR(INDEX('Staff Master'!$E$5:$E$24,MATCH(C224,'Staff Master'!$A$5:$A$24,0)),"")</f>
        <v>HR Executive</v>
      </c>
      <c r="G224" s="10" t="s">
        <v>90</v>
      </c>
      <c r="H224" s="17" t="n">
        <f aca="false">IFERROR(INDEX('Shift Master'!$C$5:$C$16,MATCH(G224,'Shift Master'!$A$5:$A$16,0)),"")</f>
        <v>0.375</v>
      </c>
      <c r="I224" s="17" t="n">
        <f aca="false">IFERROR(INDEX('Shift Master'!$D$5:$D$16,MATCH(G224,'Shift Master'!$A$5:$A$16,0)),"")</f>
        <v>0.75</v>
      </c>
      <c r="J224" s="16" t="n">
        <f aca="false">IFERROR(INDEX('Shift Master'!$E$5:$E$16,MATCH(G224,'Shift Master'!$A$5:$A$16,0)),"")</f>
        <v>60</v>
      </c>
      <c r="K224" s="16" t="n">
        <f aca="false">IFERROR(INDEX('Shift Master'!$G$5:$G$16,MATCH(G224,'Shift Master'!$A$5:$A$16,0)),0)</f>
        <v>8</v>
      </c>
      <c r="L224" s="16" t="s">
        <v>228</v>
      </c>
      <c r="M224" s="16" t="s">
        <v>229</v>
      </c>
      <c r="N224" s="16" t="str">
        <f aca="false">IF(COUNTIFS('Staffing Coverage'!$A$5:$A$12,E224,'Staffing Coverage'!$B$5:$B$12,G224)=0,"",IF(COUNTIFS($A$5:$A$10004,A224,$E$5:$E$10004,E224,$G$5:$G$10004,G224)&lt;INDEX('Staffing Coverage'!$C$5:$C$12,MATCH(1,('Staffing Coverage'!$A$5:$A$12=E224)*('Staffing Coverage'!$B$5:$B$12=G224),0)),"SHORT","OK"))</f>
        <v/>
      </c>
    </row>
    <row r="225" customFormat="false" ht="15" hidden="false" customHeight="false" outlineLevel="0" collapsed="false">
      <c r="A225" s="15" t="n">
        <v>46307</v>
      </c>
      <c r="B225" s="16" t="str">
        <f aca="false">TEXT(A225,"ddd")</f>
        <v>Mon</v>
      </c>
      <c r="C225" s="10" t="s">
        <v>128</v>
      </c>
      <c r="D225" s="16" t="str">
        <f aca="false">IFERROR(INDEX('Staff Master'!$B$5:$B$24,MATCH(C225,'Staff Master'!$A$5:$A$24,0)),"")</f>
        <v>Rashid Al Nuaimi</v>
      </c>
      <c r="E225" s="16" t="str">
        <f aca="false">IFERROR(INDEX('Staff Master'!$D$5:$D$24,MATCH(C225,'Staff Master'!$A$5:$A$24,0)),"")</f>
        <v>Management</v>
      </c>
      <c r="F225" s="16" t="str">
        <f aca="false">IFERROR(INDEX('Staff Master'!$E$5:$E$24,MATCH(C225,'Staff Master'!$A$5:$A$24,0)),"")</f>
        <v>CEO</v>
      </c>
      <c r="G225" s="10" t="s">
        <v>90</v>
      </c>
      <c r="H225" s="17" t="n">
        <f aca="false">IFERROR(INDEX('Shift Master'!$C$5:$C$16,MATCH(G225,'Shift Master'!$A$5:$A$16,0)),"")</f>
        <v>0.375</v>
      </c>
      <c r="I225" s="17" t="n">
        <f aca="false">IFERROR(INDEX('Shift Master'!$D$5:$D$16,MATCH(G225,'Shift Master'!$A$5:$A$16,0)),"")</f>
        <v>0.75</v>
      </c>
      <c r="J225" s="16" t="n">
        <f aca="false">IFERROR(INDEX('Shift Master'!$E$5:$E$16,MATCH(G225,'Shift Master'!$A$5:$A$16,0)),"")</f>
        <v>60</v>
      </c>
      <c r="K225" s="16" t="n">
        <f aca="false">IFERROR(INDEX('Shift Master'!$G$5:$G$16,MATCH(G225,'Shift Master'!$A$5:$A$16,0)),0)</f>
        <v>8</v>
      </c>
      <c r="L225" s="16" t="s">
        <v>228</v>
      </c>
      <c r="M225" s="16" t="s">
        <v>229</v>
      </c>
      <c r="N225" s="16" t="str">
        <f aca="false">IF(COUNTIFS('Staffing Coverage'!$A$5:$A$12,E225,'Staffing Coverage'!$B$5:$B$12,G225)=0,"",IF(COUNTIFS($A$5:$A$10004,A225,$E$5:$E$10004,E225,$G$5:$G$10004,G225)&lt;INDEX('Staffing Coverage'!$C$5:$C$12,MATCH(1,('Staffing Coverage'!$A$5:$A$12=E225)*('Staffing Coverage'!$B$5:$B$12=G225),0)),"SHORT","OK"))</f>
        <v/>
      </c>
    </row>
    <row r="226" customFormat="false" ht="15" hidden="false" customHeight="false" outlineLevel="0" collapsed="false">
      <c r="A226" s="15" t="n">
        <v>46307</v>
      </c>
      <c r="B226" s="16" t="str">
        <f aca="false">TEXT(A226,"ddd")</f>
        <v>Mon</v>
      </c>
      <c r="C226" s="10" t="s">
        <v>137</v>
      </c>
      <c r="D226" s="16" t="str">
        <f aca="false">IFERROR(INDEX('Staff Master'!$B$5:$B$24,MATCH(C226,'Staff Master'!$A$5:$A$24,0)),"")</f>
        <v>Dr. Sara Haddad</v>
      </c>
      <c r="E226" s="16" t="str">
        <f aca="false">IFERROR(INDEX('Staff Master'!$D$5:$D$24,MATCH(C226,'Staff Master'!$A$5:$A$24,0)),"")</f>
        <v>General Practice</v>
      </c>
      <c r="F226" s="16" t="str">
        <f aca="false">IFERROR(INDEX('Staff Master'!$E$5:$E$24,MATCH(C226,'Staff Master'!$A$5:$A$24,0)),"")</f>
        <v>Medical Director</v>
      </c>
      <c r="G226" s="10" t="s">
        <v>96</v>
      </c>
      <c r="H226" s="17" t="n">
        <f aca="false">IFERROR(INDEX('Shift Master'!$C$5:$C$16,MATCH(G226,'Shift Master'!$A$5:$A$16,0)),"")</f>
        <v>0.375</v>
      </c>
      <c r="I226" s="17" t="n">
        <f aca="false">IFERROR(INDEX('Shift Master'!$D$5:$D$16,MATCH(G226,'Shift Master'!$A$5:$A$16,0)),"")</f>
        <v>0.708333333333333</v>
      </c>
      <c r="J226" s="16" t="n">
        <f aca="false">IFERROR(INDEX('Shift Master'!$E$5:$E$16,MATCH(G226,'Shift Master'!$A$5:$A$16,0)),"")</f>
        <v>60</v>
      </c>
      <c r="K226" s="16" t="n">
        <f aca="false">IFERROR(INDEX('Shift Master'!$G$5:$G$16,MATCH(G226,'Shift Master'!$A$5:$A$16,0)),0)</f>
        <v>7</v>
      </c>
      <c r="L226" s="16" t="s">
        <v>228</v>
      </c>
      <c r="M226" s="16" t="s">
        <v>229</v>
      </c>
      <c r="N226" s="16" t="str">
        <f aca="false">IF(COUNTIFS('Staffing Coverage'!$A$5:$A$12,E226,'Staffing Coverage'!$B$5:$B$12,G226)=0,"",IF(COUNTIFS($A$5:$A$10004,A226,$E$5:$E$10004,E226,$G$5:$G$10004,G226)&lt;INDEX('Staffing Coverage'!$C$5:$C$12,MATCH(1,('Staffing Coverage'!$A$5:$A$12=E226)*('Staffing Coverage'!$B$5:$B$12=G226),0)),"SHORT","OK"))</f>
        <v/>
      </c>
    </row>
    <row r="227" customFormat="false" ht="15" hidden="false" customHeight="false" outlineLevel="0" collapsed="false">
      <c r="A227" s="15" t="n">
        <v>46307</v>
      </c>
      <c r="B227" s="16" t="str">
        <f aca="false">TEXT(A227,"ddd")</f>
        <v>Mon</v>
      </c>
      <c r="C227" s="10" t="s">
        <v>142</v>
      </c>
      <c r="D227" s="16" t="str">
        <f aca="false">IFERROR(INDEX('Staff Master'!$B$5:$B$24,MATCH(C227,'Staff Master'!$A$5:$A$24,0)),"")</f>
        <v>Dr. Omar Khalil</v>
      </c>
      <c r="E227" s="16" t="str">
        <f aca="false">IFERROR(INDEX('Staff Master'!$D$5:$D$24,MATCH(C227,'Staff Master'!$A$5:$A$24,0)),"")</f>
        <v>General Practice</v>
      </c>
      <c r="F227" s="16" t="str">
        <f aca="false">IFERROR(INDEX('Staff Master'!$E$5:$E$24,MATCH(C227,'Staff Master'!$A$5:$A$24,0)),"")</f>
        <v>Doctor</v>
      </c>
      <c r="G227" s="10" t="s">
        <v>96</v>
      </c>
      <c r="H227" s="17" t="n">
        <f aca="false">IFERROR(INDEX('Shift Master'!$C$5:$C$16,MATCH(G227,'Shift Master'!$A$5:$A$16,0)),"")</f>
        <v>0.375</v>
      </c>
      <c r="I227" s="17" t="n">
        <f aca="false">IFERROR(INDEX('Shift Master'!$D$5:$D$16,MATCH(G227,'Shift Master'!$A$5:$A$16,0)),"")</f>
        <v>0.708333333333333</v>
      </c>
      <c r="J227" s="16" t="n">
        <f aca="false">IFERROR(INDEX('Shift Master'!$E$5:$E$16,MATCH(G227,'Shift Master'!$A$5:$A$16,0)),"")</f>
        <v>60</v>
      </c>
      <c r="K227" s="16" t="n">
        <f aca="false">IFERROR(INDEX('Shift Master'!$G$5:$G$16,MATCH(G227,'Shift Master'!$A$5:$A$16,0)),0)</f>
        <v>7</v>
      </c>
      <c r="L227" s="16" t="s">
        <v>228</v>
      </c>
      <c r="M227" s="16" t="s">
        <v>229</v>
      </c>
      <c r="N227" s="16" t="str">
        <f aca="false">IF(COUNTIFS('Staffing Coverage'!$A$5:$A$12,E227,'Staffing Coverage'!$B$5:$B$12,G227)=0,"",IF(COUNTIFS($A$5:$A$10004,A227,$E$5:$E$10004,E227,$G$5:$G$10004,G227)&lt;INDEX('Staffing Coverage'!$C$5:$C$12,MATCH(1,('Staffing Coverage'!$A$5:$A$12=E227)*('Staffing Coverage'!$B$5:$B$12=G227),0)),"SHORT","OK"))</f>
        <v/>
      </c>
    </row>
    <row r="228" customFormat="false" ht="15" hidden="false" customHeight="false" outlineLevel="0" collapsed="false">
      <c r="A228" s="15" t="n">
        <v>46307</v>
      </c>
      <c r="B228" s="16" t="str">
        <f aca="false">TEXT(A228,"ddd")</f>
        <v>Mon</v>
      </c>
      <c r="C228" s="10" t="s">
        <v>146</v>
      </c>
      <c r="D228" s="16" t="str">
        <f aca="false">IFERROR(INDEX('Staff Master'!$B$5:$B$24,MATCH(C228,'Staff Master'!$A$5:$A$24,0)),"")</f>
        <v>Dr. Lina Abboud</v>
      </c>
      <c r="E228" s="16" t="str">
        <f aca="false">IFERROR(INDEX('Staff Master'!$D$5:$D$24,MATCH(C228,'Staff Master'!$A$5:$A$24,0)),"")</f>
        <v>Dental</v>
      </c>
      <c r="F228" s="16" t="str">
        <f aca="false">IFERROR(INDEX('Staff Master'!$E$5:$E$24,MATCH(C228,'Staff Master'!$A$5:$A$24,0)),"")</f>
        <v>Dentist</v>
      </c>
      <c r="G228" s="10" t="s">
        <v>96</v>
      </c>
      <c r="H228" s="17" t="n">
        <f aca="false">IFERROR(INDEX('Shift Master'!$C$5:$C$16,MATCH(G228,'Shift Master'!$A$5:$A$16,0)),"")</f>
        <v>0.375</v>
      </c>
      <c r="I228" s="17" t="n">
        <f aca="false">IFERROR(INDEX('Shift Master'!$D$5:$D$16,MATCH(G228,'Shift Master'!$A$5:$A$16,0)),"")</f>
        <v>0.708333333333333</v>
      </c>
      <c r="J228" s="16" t="n">
        <f aca="false">IFERROR(INDEX('Shift Master'!$E$5:$E$16,MATCH(G228,'Shift Master'!$A$5:$A$16,0)),"")</f>
        <v>60</v>
      </c>
      <c r="K228" s="16" t="n">
        <f aca="false">IFERROR(INDEX('Shift Master'!$G$5:$G$16,MATCH(G228,'Shift Master'!$A$5:$A$16,0)),0)</f>
        <v>7</v>
      </c>
      <c r="L228" s="16" t="s">
        <v>228</v>
      </c>
      <c r="M228" s="16" t="s">
        <v>229</v>
      </c>
      <c r="N228" s="16" t="str">
        <f aca="false">IF(COUNTIFS('Staffing Coverage'!$A$5:$A$12,E228,'Staffing Coverage'!$B$5:$B$12,G228)=0,"",IF(COUNTIFS($A$5:$A$10004,A228,$E$5:$E$10004,E228,$G$5:$G$10004,G228)&lt;INDEX('Staffing Coverage'!$C$5:$C$12,MATCH(1,('Staffing Coverage'!$A$5:$A$12=E228)*('Staffing Coverage'!$B$5:$B$12=G228),0)),"SHORT","OK"))</f>
        <v/>
      </c>
    </row>
    <row r="229" customFormat="false" ht="15" hidden="false" customHeight="false" outlineLevel="0" collapsed="false">
      <c r="A229" s="15" t="n">
        <v>46307</v>
      </c>
      <c r="B229" s="16" t="str">
        <f aca="false">TEXT(A229,"ddd")</f>
        <v>Mon</v>
      </c>
      <c r="C229" s="10" t="s">
        <v>150</v>
      </c>
      <c r="D229" s="16" t="str">
        <f aca="false">IFERROR(INDEX('Staff Master'!$B$5:$B$24,MATCH(C229,'Staff Master'!$A$5:$A$24,0)),"")</f>
        <v>Dr. Farah Idris</v>
      </c>
      <c r="E229" s="16" t="str">
        <f aca="false">IFERROR(INDEX('Staff Master'!$D$5:$D$24,MATCH(C229,'Staff Master'!$A$5:$A$24,0)),"")</f>
        <v>Dental</v>
      </c>
      <c r="F229" s="16" t="str">
        <f aca="false">IFERROR(INDEX('Staff Master'!$E$5:$E$24,MATCH(C229,'Staff Master'!$A$5:$A$24,0)),"")</f>
        <v>Dentist</v>
      </c>
      <c r="G229" s="10" t="s">
        <v>96</v>
      </c>
      <c r="H229" s="17" t="n">
        <f aca="false">IFERROR(INDEX('Shift Master'!$C$5:$C$16,MATCH(G229,'Shift Master'!$A$5:$A$16,0)),"")</f>
        <v>0.375</v>
      </c>
      <c r="I229" s="17" t="n">
        <f aca="false">IFERROR(INDEX('Shift Master'!$D$5:$D$16,MATCH(G229,'Shift Master'!$A$5:$A$16,0)),"")</f>
        <v>0.708333333333333</v>
      </c>
      <c r="J229" s="16" t="n">
        <f aca="false">IFERROR(INDEX('Shift Master'!$E$5:$E$16,MATCH(G229,'Shift Master'!$A$5:$A$16,0)),"")</f>
        <v>60</v>
      </c>
      <c r="K229" s="16" t="n">
        <f aca="false">IFERROR(INDEX('Shift Master'!$G$5:$G$16,MATCH(G229,'Shift Master'!$A$5:$A$16,0)),0)</f>
        <v>7</v>
      </c>
      <c r="L229" s="16" t="s">
        <v>228</v>
      </c>
      <c r="M229" s="16" t="s">
        <v>229</v>
      </c>
      <c r="N229" s="16" t="str">
        <f aca="false">IF(COUNTIFS('Staffing Coverage'!$A$5:$A$12,E229,'Staffing Coverage'!$B$5:$B$12,G229)=0,"",IF(COUNTIFS($A$5:$A$10004,A229,$E$5:$E$10004,E229,$G$5:$G$10004,G229)&lt;INDEX('Staffing Coverage'!$C$5:$C$12,MATCH(1,('Staffing Coverage'!$A$5:$A$12=E229)*('Staffing Coverage'!$B$5:$B$12=G229),0)),"SHORT","OK"))</f>
        <v/>
      </c>
    </row>
    <row r="230" customFormat="false" ht="15" hidden="false" customHeight="false" outlineLevel="0" collapsed="false">
      <c r="A230" s="15" t="n">
        <v>46307</v>
      </c>
      <c r="B230" s="16" t="str">
        <f aca="false">TEXT(A230,"ddd")</f>
        <v>Mon</v>
      </c>
      <c r="C230" s="10" t="s">
        <v>157</v>
      </c>
      <c r="D230" s="16" t="str">
        <f aca="false">IFERROR(INDEX('Staff Master'!$B$5:$B$24,MATCH(C230,'Staff Master'!$A$5:$A$24,0)),"")</f>
        <v>Dr. Youssef Nassar</v>
      </c>
      <c r="E230" s="16" t="str">
        <f aca="false">IFERROR(INDEX('Staff Master'!$D$5:$D$24,MATCH(C230,'Staff Master'!$A$5:$A$24,0)),"")</f>
        <v>General Practice</v>
      </c>
      <c r="F230" s="16" t="str">
        <f aca="false">IFERROR(INDEX('Staff Master'!$E$5:$E$24,MATCH(C230,'Staff Master'!$A$5:$A$24,0)),"")</f>
        <v>General Practitioner</v>
      </c>
      <c r="G230" s="10" t="s">
        <v>96</v>
      </c>
      <c r="H230" s="17" t="n">
        <f aca="false">IFERROR(INDEX('Shift Master'!$C$5:$C$16,MATCH(G230,'Shift Master'!$A$5:$A$16,0)),"")</f>
        <v>0.375</v>
      </c>
      <c r="I230" s="17" t="n">
        <f aca="false">IFERROR(INDEX('Shift Master'!$D$5:$D$16,MATCH(G230,'Shift Master'!$A$5:$A$16,0)),"")</f>
        <v>0.708333333333333</v>
      </c>
      <c r="J230" s="16" t="n">
        <f aca="false">IFERROR(INDEX('Shift Master'!$E$5:$E$16,MATCH(G230,'Shift Master'!$A$5:$A$16,0)),"")</f>
        <v>60</v>
      </c>
      <c r="K230" s="16" t="n">
        <f aca="false">IFERROR(INDEX('Shift Master'!$G$5:$G$16,MATCH(G230,'Shift Master'!$A$5:$A$16,0)),0)</f>
        <v>7</v>
      </c>
      <c r="L230" s="16" t="s">
        <v>228</v>
      </c>
      <c r="M230" s="16" t="s">
        <v>229</v>
      </c>
      <c r="N230" s="16" t="str">
        <f aca="false">IF(COUNTIFS('Staffing Coverage'!$A$5:$A$12,E230,'Staffing Coverage'!$B$5:$B$12,G230)=0,"",IF(COUNTIFS($A$5:$A$10004,A230,$E$5:$E$10004,E230,$G$5:$G$10004,G230)&lt;INDEX('Staffing Coverage'!$C$5:$C$12,MATCH(1,('Staffing Coverage'!$A$5:$A$12=E230)*('Staffing Coverage'!$B$5:$B$12=G230),0)),"SHORT","OK"))</f>
        <v/>
      </c>
    </row>
    <row r="231" customFormat="false" ht="15" hidden="false" customHeight="false" outlineLevel="0" collapsed="false">
      <c r="A231" s="15" t="n">
        <v>46307</v>
      </c>
      <c r="B231" s="16" t="str">
        <f aca="false">TEXT(A231,"ddd")</f>
        <v>Mon</v>
      </c>
      <c r="C231" s="10" t="s">
        <v>161</v>
      </c>
      <c r="D231" s="16" t="str">
        <f aca="false">IFERROR(INDEX('Staff Master'!$B$5:$B$24,MATCH(C231,'Staff Master'!$A$5:$A$24,0)),"")</f>
        <v>Grace Fernandez</v>
      </c>
      <c r="E231" s="16" t="str">
        <f aca="false">IFERROR(INDEX('Staff Master'!$D$5:$D$24,MATCH(C231,'Staff Master'!$A$5:$A$24,0)),"")</f>
        <v>Nursing</v>
      </c>
      <c r="F231" s="16" t="str">
        <f aca="false">IFERROR(INDEX('Staff Master'!$E$5:$E$24,MATCH(C231,'Staff Master'!$A$5:$A$24,0)),"")</f>
        <v>Nurse</v>
      </c>
      <c r="G231" s="10" t="s">
        <v>87</v>
      </c>
      <c r="H231" s="17" t="n">
        <f aca="false">IFERROR(INDEX('Shift Master'!$C$5:$C$16,MATCH(G231,'Shift Master'!$A$5:$A$16,0)),"")</f>
        <v>0.333333333333333</v>
      </c>
      <c r="I231" s="17" t="n">
        <f aca="false">IFERROR(INDEX('Shift Master'!$D$5:$D$16,MATCH(G231,'Shift Master'!$A$5:$A$16,0)),"")</f>
        <v>0.708333333333333</v>
      </c>
      <c r="J231" s="16" t="n">
        <f aca="false">IFERROR(INDEX('Shift Master'!$E$5:$E$16,MATCH(G231,'Shift Master'!$A$5:$A$16,0)),"")</f>
        <v>60</v>
      </c>
      <c r="K231" s="16" t="n">
        <f aca="false">IFERROR(INDEX('Shift Master'!$G$5:$G$16,MATCH(G231,'Shift Master'!$A$5:$A$16,0)),0)</f>
        <v>8</v>
      </c>
      <c r="L231" s="16" t="s">
        <v>228</v>
      </c>
      <c r="M231" s="16" t="s">
        <v>229</v>
      </c>
      <c r="N231" s="16" t="str">
        <f aca="false">IF(COUNTIFS('Staffing Coverage'!$A$5:$A$12,E231,'Staffing Coverage'!$B$5:$B$12,G231)=0,"",IF(COUNTIFS($A$5:$A$10004,A231,$E$5:$E$10004,E231,$G$5:$G$10004,G231)&lt;INDEX('Staffing Coverage'!$C$5:$C$12,MATCH(1,('Staffing Coverage'!$A$5:$A$12=E231)*('Staffing Coverage'!$B$5:$B$12=G231),0)),"SHORT","OK"))</f>
        <v>OK</v>
      </c>
    </row>
    <row r="232" customFormat="false" ht="15" hidden="false" customHeight="false" outlineLevel="0" collapsed="false">
      <c r="A232" s="15" t="n">
        <v>46307</v>
      </c>
      <c r="B232" s="16" t="str">
        <f aca="false">TEXT(A232,"ddd")</f>
        <v>Mon</v>
      </c>
      <c r="C232" s="10" t="s">
        <v>165</v>
      </c>
      <c r="D232" s="16" t="str">
        <f aca="false">IFERROR(INDEX('Staff Master'!$B$5:$B$24,MATCH(C232,'Staff Master'!$A$5:$A$24,0)),"")</f>
        <v>Priya Nair</v>
      </c>
      <c r="E232" s="16" t="str">
        <f aca="false">IFERROR(INDEX('Staff Master'!$D$5:$D$24,MATCH(C232,'Staff Master'!$A$5:$A$24,0)),"")</f>
        <v>Nursing</v>
      </c>
      <c r="F232" s="16" t="str">
        <f aca="false">IFERROR(INDEX('Staff Master'!$E$5:$E$24,MATCH(C232,'Staff Master'!$A$5:$A$24,0)),"")</f>
        <v>Nurse</v>
      </c>
      <c r="G232" s="10" t="s">
        <v>97</v>
      </c>
      <c r="H232" s="17" t="n">
        <f aca="false">IFERROR(INDEX('Shift Master'!$C$5:$C$16,MATCH(G232,'Shift Master'!$A$5:$A$16,0)),"")</f>
        <v>0</v>
      </c>
      <c r="I232" s="17" t="n">
        <f aca="false">IFERROR(INDEX('Shift Master'!$D$5:$D$16,MATCH(G232,'Shift Master'!$A$5:$A$16,0)),"")</f>
        <v>0</v>
      </c>
      <c r="J232" s="16" t="n">
        <f aca="false">IFERROR(INDEX('Shift Master'!$E$5:$E$16,MATCH(G232,'Shift Master'!$A$5:$A$16,0)),"")</f>
        <v>0</v>
      </c>
      <c r="K232" s="16" t="n">
        <f aca="false">IFERROR(INDEX('Shift Master'!$G$5:$G$16,MATCH(G232,'Shift Master'!$A$5:$A$16,0)),0)</f>
        <v>0</v>
      </c>
      <c r="L232" s="16" t="s">
        <v>228</v>
      </c>
      <c r="M232" s="16" t="s">
        <v>229</v>
      </c>
      <c r="N232" s="16" t="str">
        <f aca="false">IF(COUNTIFS('Staffing Coverage'!$A$5:$A$12,E232,'Staffing Coverage'!$B$5:$B$12,G232)=0,"",IF(COUNTIFS($A$5:$A$10004,A232,$E$5:$E$10004,E232,$G$5:$G$10004,G232)&lt;INDEX('Staffing Coverage'!$C$5:$C$12,MATCH(1,('Staffing Coverage'!$A$5:$A$12=E232)*('Staffing Coverage'!$B$5:$B$12=G232),0)),"SHORT","OK"))</f>
        <v/>
      </c>
    </row>
    <row r="233" customFormat="false" ht="15" hidden="false" customHeight="false" outlineLevel="0" collapsed="false">
      <c r="A233" s="15" t="n">
        <v>46307</v>
      </c>
      <c r="B233" s="16" t="str">
        <f aca="false">TEXT(A233,"ddd")</f>
        <v>Mon</v>
      </c>
      <c r="C233" s="10" t="s">
        <v>170</v>
      </c>
      <c r="D233" s="16" t="str">
        <f aca="false">IFERROR(INDEX('Staff Master'!$B$5:$B$24,MATCH(C233,'Staff Master'!$A$5:$A$24,0)),"")</f>
        <v>Maria Santos</v>
      </c>
      <c r="E233" s="16" t="str">
        <f aca="false">IFERROR(INDEX('Staff Master'!$D$5:$D$24,MATCH(C233,'Staff Master'!$A$5:$A$24,0)),"")</f>
        <v>Nursing</v>
      </c>
      <c r="F233" s="16" t="str">
        <f aca="false">IFERROR(INDEX('Staff Master'!$E$5:$E$24,MATCH(C233,'Staff Master'!$A$5:$A$24,0)),"")</f>
        <v>Nurse</v>
      </c>
      <c r="G233" s="10" t="s">
        <v>94</v>
      </c>
      <c r="H233" s="17" t="n">
        <f aca="false">IFERROR(INDEX('Shift Master'!$C$5:$C$16,MATCH(G233,'Shift Master'!$A$5:$A$16,0)),"")</f>
        <v>0.541666666666667</v>
      </c>
      <c r="I233" s="17" t="n">
        <f aca="false">IFERROR(INDEX('Shift Master'!$D$5:$D$16,MATCH(G233,'Shift Master'!$A$5:$A$16,0)),"")</f>
        <v>0.916666666666667</v>
      </c>
      <c r="J233" s="16" t="n">
        <f aca="false">IFERROR(INDEX('Shift Master'!$E$5:$E$16,MATCH(G233,'Shift Master'!$A$5:$A$16,0)),"")</f>
        <v>60</v>
      </c>
      <c r="K233" s="16" t="n">
        <f aca="false">IFERROR(INDEX('Shift Master'!$G$5:$G$16,MATCH(G233,'Shift Master'!$A$5:$A$16,0)),0)</f>
        <v>8</v>
      </c>
      <c r="L233" s="16" t="s">
        <v>228</v>
      </c>
      <c r="M233" s="16" t="s">
        <v>229</v>
      </c>
      <c r="N233" s="16" t="str">
        <f aca="false">IF(COUNTIFS('Staffing Coverage'!$A$5:$A$12,E233,'Staffing Coverage'!$B$5:$B$12,G233)=0,"",IF(COUNTIFS($A$5:$A$10004,A233,$E$5:$E$10004,E233,$G$5:$G$10004,G233)&lt;INDEX('Staffing Coverage'!$C$5:$C$12,MATCH(1,('Staffing Coverage'!$A$5:$A$12=E233)*('Staffing Coverage'!$B$5:$B$12=G233),0)),"SHORT","OK"))</f>
        <v/>
      </c>
    </row>
    <row r="234" customFormat="false" ht="15" hidden="false" customHeight="false" outlineLevel="0" collapsed="false">
      <c r="A234" s="15" t="n">
        <v>46307</v>
      </c>
      <c r="B234" s="16" t="str">
        <f aca="false">TEXT(A234,"ddd")</f>
        <v>Mon</v>
      </c>
      <c r="C234" s="10" t="s">
        <v>174</v>
      </c>
      <c r="D234" s="16" t="str">
        <f aca="false">IFERROR(INDEX('Staff Master'!$B$5:$B$24,MATCH(C234,'Staff Master'!$A$5:$A$24,0)),"")</f>
        <v>Aisha Al Shamsi</v>
      </c>
      <c r="E234" s="16" t="str">
        <f aca="false">IFERROR(INDEX('Staff Master'!$D$5:$D$24,MATCH(C234,'Staff Master'!$A$5:$A$24,0)),"")</f>
        <v>Reception</v>
      </c>
      <c r="F234" s="16" t="str">
        <f aca="false">IFERROR(INDEX('Staff Master'!$E$5:$E$24,MATCH(C234,'Staff Master'!$A$5:$A$24,0)),"")</f>
        <v>Receptionist</v>
      </c>
      <c r="G234" s="10" t="s">
        <v>97</v>
      </c>
      <c r="H234" s="17" t="n">
        <f aca="false">IFERROR(INDEX('Shift Master'!$C$5:$C$16,MATCH(G234,'Shift Master'!$A$5:$A$16,0)),"")</f>
        <v>0</v>
      </c>
      <c r="I234" s="17" t="n">
        <f aca="false">IFERROR(INDEX('Shift Master'!$D$5:$D$16,MATCH(G234,'Shift Master'!$A$5:$A$16,0)),"")</f>
        <v>0</v>
      </c>
      <c r="J234" s="16" t="n">
        <f aca="false">IFERROR(INDEX('Shift Master'!$E$5:$E$16,MATCH(G234,'Shift Master'!$A$5:$A$16,0)),"")</f>
        <v>0</v>
      </c>
      <c r="K234" s="16" t="n">
        <f aca="false">IFERROR(INDEX('Shift Master'!$G$5:$G$16,MATCH(G234,'Shift Master'!$A$5:$A$16,0)),0)</f>
        <v>0</v>
      </c>
      <c r="L234" s="16" t="s">
        <v>228</v>
      </c>
      <c r="M234" s="16" t="s">
        <v>229</v>
      </c>
      <c r="N234" s="16" t="str">
        <f aca="false">IF(COUNTIFS('Staffing Coverage'!$A$5:$A$12,E234,'Staffing Coverage'!$B$5:$B$12,G234)=0,"",IF(COUNTIFS($A$5:$A$10004,A234,$E$5:$E$10004,E234,$G$5:$G$10004,G234)&lt;INDEX('Staffing Coverage'!$C$5:$C$12,MATCH(1,('Staffing Coverage'!$A$5:$A$12=E234)*('Staffing Coverage'!$B$5:$B$12=G234),0)),"SHORT","OK"))</f>
        <v/>
      </c>
    </row>
    <row r="235" customFormat="false" ht="15" hidden="false" customHeight="false" outlineLevel="0" collapsed="false">
      <c r="A235" s="15" t="n">
        <v>46307</v>
      </c>
      <c r="B235" s="16" t="str">
        <f aca="false">TEXT(A235,"ddd")</f>
        <v>Mon</v>
      </c>
      <c r="C235" s="10" t="s">
        <v>179</v>
      </c>
      <c r="D235" s="16" t="str">
        <f aca="false">IFERROR(INDEX('Staff Master'!$B$5:$B$24,MATCH(C235,'Staff Master'!$A$5:$A$24,0)),"")</f>
        <v>John Dsouza</v>
      </c>
      <c r="E235" s="16" t="str">
        <f aca="false">IFERROR(INDEX('Staff Master'!$D$5:$D$24,MATCH(C235,'Staff Master'!$A$5:$A$24,0)),"")</f>
        <v>Reception</v>
      </c>
      <c r="F235" s="16" t="str">
        <f aca="false">IFERROR(INDEX('Staff Master'!$E$5:$E$24,MATCH(C235,'Staff Master'!$A$5:$A$24,0)),"")</f>
        <v>Receptionist</v>
      </c>
      <c r="G235" s="10" t="s">
        <v>90</v>
      </c>
      <c r="H235" s="17" t="n">
        <f aca="false">IFERROR(INDEX('Shift Master'!$C$5:$C$16,MATCH(G235,'Shift Master'!$A$5:$A$16,0)),"")</f>
        <v>0.375</v>
      </c>
      <c r="I235" s="17" t="n">
        <f aca="false">IFERROR(INDEX('Shift Master'!$D$5:$D$16,MATCH(G235,'Shift Master'!$A$5:$A$16,0)),"")</f>
        <v>0.75</v>
      </c>
      <c r="J235" s="16" t="n">
        <f aca="false">IFERROR(INDEX('Shift Master'!$E$5:$E$16,MATCH(G235,'Shift Master'!$A$5:$A$16,0)),"")</f>
        <v>60</v>
      </c>
      <c r="K235" s="16" t="n">
        <f aca="false">IFERROR(INDEX('Shift Master'!$G$5:$G$16,MATCH(G235,'Shift Master'!$A$5:$A$16,0)),0)</f>
        <v>8</v>
      </c>
      <c r="L235" s="16" t="s">
        <v>228</v>
      </c>
      <c r="M235" s="16" t="s">
        <v>229</v>
      </c>
      <c r="N235" s="16" t="str">
        <f aca="false">IF(COUNTIFS('Staffing Coverage'!$A$5:$A$12,E235,'Staffing Coverage'!$B$5:$B$12,G235)=0,"",IF(COUNTIFS($A$5:$A$10004,A235,$E$5:$E$10004,E235,$G$5:$G$10004,G235)&lt;INDEX('Staffing Coverage'!$C$5:$C$12,MATCH(1,('Staffing Coverage'!$A$5:$A$12=E235)*('Staffing Coverage'!$B$5:$B$12=G235),0)),"SHORT","OK"))</f>
        <v>SHORT</v>
      </c>
    </row>
    <row r="236" customFormat="false" ht="15" hidden="false" customHeight="false" outlineLevel="0" collapsed="false">
      <c r="A236" s="15" t="n">
        <v>46307</v>
      </c>
      <c r="B236" s="16" t="str">
        <f aca="false">TEXT(A236,"ddd")</f>
        <v>Mon</v>
      </c>
      <c r="C236" s="10" t="s">
        <v>184</v>
      </c>
      <c r="D236" s="16" t="str">
        <f aca="false">IFERROR(INDEX('Staff Master'!$B$5:$B$24,MATCH(C236,'Staff Master'!$A$5:$A$24,0)),"")</f>
        <v>Fatima Zahra</v>
      </c>
      <c r="E236" s="16" t="str">
        <f aca="false">IFERROR(INDEX('Staff Master'!$D$5:$D$24,MATCH(C236,'Staff Master'!$A$5:$A$24,0)),"")</f>
        <v>Reception</v>
      </c>
      <c r="F236" s="16" t="str">
        <f aca="false">IFERROR(INDEX('Staff Master'!$E$5:$E$24,MATCH(C236,'Staff Master'!$A$5:$A$24,0)),"")</f>
        <v>Receptionist</v>
      </c>
      <c r="G236" s="10" t="s">
        <v>94</v>
      </c>
      <c r="H236" s="17" t="n">
        <f aca="false">IFERROR(INDEX('Shift Master'!$C$5:$C$16,MATCH(G236,'Shift Master'!$A$5:$A$16,0)),"")</f>
        <v>0.541666666666667</v>
      </c>
      <c r="I236" s="17" t="n">
        <f aca="false">IFERROR(INDEX('Shift Master'!$D$5:$D$16,MATCH(G236,'Shift Master'!$A$5:$A$16,0)),"")</f>
        <v>0.916666666666667</v>
      </c>
      <c r="J236" s="16" t="n">
        <f aca="false">IFERROR(INDEX('Shift Master'!$E$5:$E$16,MATCH(G236,'Shift Master'!$A$5:$A$16,0)),"")</f>
        <v>60</v>
      </c>
      <c r="K236" s="16" t="n">
        <f aca="false">IFERROR(INDEX('Shift Master'!$G$5:$G$16,MATCH(G236,'Shift Master'!$A$5:$A$16,0)),0)</f>
        <v>8</v>
      </c>
      <c r="L236" s="16" t="s">
        <v>228</v>
      </c>
      <c r="M236" s="16" t="s">
        <v>229</v>
      </c>
      <c r="N236" s="16" t="str">
        <f aca="false">IF(COUNTIFS('Staffing Coverage'!$A$5:$A$12,E236,'Staffing Coverage'!$B$5:$B$12,G236)=0,"",IF(COUNTIFS($A$5:$A$10004,A236,$E$5:$E$10004,E236,$G$5:$G$10004,G236)&lt;INDEX('Staffing Coverage'!$C$5:$C$12,MATCH(1,('Staffing Coverage'!$A$5:$A$12=E236)*('Staffing Coverage'!$B$5:$B$12=G236),0)),"SHORT","OK"))</f>
        <v>OK</v>
      </c>
    </row>
    <row r="237" customFormat="false" ht="15" hidden="false" customHeight="false" outlineLevel="0" collapsed="false">
      <c r="A237" s="15" t="n">
        <v>46307</v>
      </c>
      <c r="B237" s="16" t="str">
        <f aca="false">TEXT(A237,"ddd")</f>
        <v>Mon</v>
      </c>
      <c r="C237" s="10" t="s">
        <v>188</v>
      </c>
      <c r="D237" s="16" t="str">
        <f aca="false">IFERROR(INDEX('Staff Master'!$B$5:$B$24,MATCH(C237,'Staff Master'!$A$5:$A$24,0)),"")</f>
        <v>Ana Reyes</v>
      </c>
      <c r="E237" s="16" t="str">
        <f aca="false">IFERROR(INDEX('Staff Master'!$D$5:$D$24,MATCH(C237,'Staff Master'!$A$5:$A$24,0)),"")</f>
        <v>Dental</v>
      </c>
      <c r="F237" s="16" t="str">
        <f aca="false">IFERROR(INDEX('Staff Master'!$E$5:$E$24,MATCH(C237,'Staff Master'!$A$5:$A$24,0)),"")</f>
        <v>Dental Assistant</v>
      </c>
      <c r="G237" s="10" t="s">
        <v>87</v>
      </c>
      <c r="H237" s="17" t="n">
        <f aca="false">IFERROR(INDEX('Shift Master'!$C$5:$C$16,MATCH(G237,'Shift Master'!$A$5:$A$16,0)),"")</f>
        <v>0.333333333333333</v>
      </c>
      <c r="I237" s="17" t="n">
        <f aca="false">IFERROR(INDEX('Shift Master'!$D$5:$D$16,MATCH(G237,'Shift Master'!$A$5:$A$16,0)),"")</f>
        <v>0.708333333333333</v>
      </c>
      <c r="J237" s="16" t="n">
        <f aca="false">IFERROR(INDEX('Shift Master'!$E$5:$E$16,MATCH(G237,'Shift Master'!$A$5:$A$16,0)),"")</f>
        <v>60</v>
      </c>
      <c r="K237" s="16" t="n">
        <f aca="false">IFERROR(INDEX('Shift Master'!$G$5:$G$16,MATCH(G237,'Shift Master'!$A$5:$A$16,0)),0)</f>
        <v>8</v>
      </c>
      <c r="L237" s="16" t="s">
        <v>228</v>
      </c>
      <c r="M237" s="16" t="s">
        <v>229</v>
      </c>
      <c r="N237" s="16" t="str">
        <f aca="false">IF(COUNTIFS('Staffing Coverage'!$A$5:$A$12,E237,'Staffing Coverage'!$B$5:$B$12,G237)=0,"",IF(COUNTIFS($A$5:$A$10004,A237,$E$5:$E$10004,E237,$G$5:$G$10004,G237)&lt;INDEX('Staffing Coverage'!$C$5:$C$12,MATCH(1,('Staffing Coverage'!$A$5:$A$12=E237)*('Staffing Coverage'!$B$5:$B$12=G237),0)),"SHORT","OK"))</f>
        <v>OK</v>
      </c>
    </row>
    <row r="238" customFormat="false" ht="15" hidden="false" customHeight="false" outlineLevel="0" collapsed="false">
      <c r="A238" s="15" t="n">
        <v>46307</v>
      </c>
      <c r="B238" s="16" t="str">
        <f aca="false">TEXT(A238,"ddd")</f>
        <v>Mon</v>
      </c>
      <c r="C238" s="10" t="s">
        <v>192</v>
      </c>
      <c r="D238" s="16" t="str">
        <f aca="false">IFERROR(INDEX('Staff Master'!$B$5:$B$24,MATCH(C238,'Staff Master'!$A$5:$A$24,0)),"")</f>
        <v>Noor Hassan</v>
      </c>
      <c r="E238" s="16" t="str">
        <f aca="false">IFERROR(INDEX('Staff Master'!$D$5:$D$24,MATCH(C238,'Staff Master'!$A$5:$A$24,0)),"")</f>
        <v>Dental</v>
      </c>
      <c r="F238" s="16" t="str">
        <f aca="false">IFERROR(INDEX('Staff Master'!$E$5:$E$24,MATCH(C238,'Staff Master'!$A$5:$A$24,0)),"")</f>
        <v>Dental Assistant</v>
      </c>
      <c r="G238" s="10" t="s">
        <v>90</v>
      </c>
      <c r="H238" s="17" t="n">
        <f aca="false">IFERROR(INDEX('Shift Master'!$C$5:$C$16,MATCH(G238,'Shift Master'!$A$5:$A$16,0)),"")</f>
        <v>0.375</v>
      </c>
      <c r="I238" s="17" t="n">
        <f aca="false">IFERROR(INDEX('Shift Master'!$D$5:$D$16,MATCH(G238,'Shift Master'!$A$5:$A$16,0)),"")</f>
        <v>0.75</v>
      </c>
      <c r="J238" s="16" t="n">
        <f aca="false">IFERROR(INDEX('Shift Master'!$E$5:$E$16,MATCH(G238,'Shift Master'!$A$5:$A$16,0)),"")</f>
        <v>60</v>
      </c>
      <c r="K238" s="16" t="n">
        <f aca="false">IFERROR(INDEX('Shift Master'!$G$5:$G$16,MATCH(G238,'Shift Master'!$A$5:$A$16,0)),0)</f>
        <v>8</v>
      </c>
      <c r="L238" s="16" t="s">
        <v>228</v>
      </c>
      <c r="M238" s="16" t="s">
        <v>229</v>
      </c>
      <c r="N238" s="16" t="str">
        <f aca="false">IF(COUNTIFS('Staffing Coverage'!$A$5:$A$12,E238,'Staffing Coverage'!$B$5:$B$12,G238)=0,"",IF(COUNTIFS($A$5:$A$10004,A238,$E$5:$E$10004,E238,$G$5:$G$10004,G238)&lt;INDEX('Staffing Coverage'!$C$5:$C$12,MATCH(1,('Staffing Coverage'!$A$5:$A$12=E238)*('Staffing Coverage'!$B$5:$B$12=G238),0)),"SHORT","OK"))</f>
        <v/>
      </c>
    </row>
    <row r="239" customFormat="false" ht="15" hidden="false" customHeight="false" outlineLevel="0" collapsed="false">
      <c r="A239" s="15" t="n">
        <v>46307</v>
      </c>
      <c r="B239" s="16" t="str">
        <f aca="false">TEXT(A239,"ddd")</f>
        <v>Mon</v>
      </c>
      <c r="C239" s="10" t="s">
        <v>196</v>
      </c>
      <c r="D239" s="16" t="str">
        <f aca="false">IFERROR(INDEX('Staff Master'!$B$5:$B$24,MATCH(C239,'Staff Master'!$A$5:$A$24,0)),"")</f>
        <v>Karan Mehta</v>
      </c>
      <c r="E239" s="16" t="str">
        <f aca="false">IFERROR(INDEX('Staff Master'!$D$5:$D$24,MATCH(C239,'Staff Master'!$A$5:$A$24,0)),"")</f>
        <v>Laser</v>
      </c>
      <c r="F239" s="16" t="str">
        <f aca="false">IFERROR(INDEX('Staff Master'!$E$5:$E$24,MATCH(C239,'Staff Master'!$A$5:$A$24,0)),"")</f>
        <v>Laser Technician</v>
      </c>
      <c r="G239" s="10" t="s">
        <v>90</v>
      </c>
      <c r="H239" s="17" t="n">
        <f aca="false">IFERROR(INDEX('Shift Master'!$C$5:$C$16,MATCH(G239,'Shift Master'!$A$5:$A$16,0)),"")</f>
        <v>0.375</v>
      </c>
      <c r="I239" s="17" t="n">
        <f aca="false">IFERROR(INDEX('Shift Master'!$D$5:$D$16,MATCH(G239,'Shift Master'!$A$5:$A$16,0)),"")</f>
        <v>0.75</v>
      </c>
      <c r="J239" s="16" t="n">
        <f aca="false">IFERROR(INDEX('Shift Master'!$E$5:$E$16,MATCH(G239,'Shift Master'!$A$5:$A$16,0)),"")</f>
        <v>60</v>
      </c>
      <c r="K239" s="16" t="n">
        <f aca="false">IFERROR(INDEX('Shift Master'!$G$5:$G$16,MATCH(G239,'Shift Master'!$A$5:$A$16,0)),0)</f>
        <v>8</v>
      </c>
      <c r="L239" s="16" t="s">
        <v>228</v>
      </c>
      <c r="M239" s="16" t="s">
        <v>229</v>
      </c>
      <c r="N239" s="16" t="str">
        <f aca="false">IF(COUNTIFS('Staffing Coverage'!$A$5:$A$12,E239,'Staffing Coverage'!$B$5:$B$12,G239)=0,"",IF(COUNTIFS($A$5:$A$10004,A239,$E$5:$E$10004,E239,$G$5:$G$10004,G239)&lt;INDEX('Staffing Coverage'!$C$5:$C$12,MATCH(1,('Staffing Coverage'!$A$5:$A$12=E239)*('Staffing Coverage'!$B$5:$B$12=G239),0)),"SHORT","OK"))</f>
        <v/>
      </c>
    </row>
    <row r="240" customFormat="false" ht="15" hidden="false" customHeight="false" outlineLevel="0" collapsed="false">
      <c r="A240" s="15" t="n">
        <v>46307</v>
      </c>
      <c r="B240" s="16" t="str">
        <f aca="false">TEXT(A240,"ddd")</f>
        <v>Mon</v>
      </c>
      <c r="C240" s="10" t="s">
        <v>200</v>
      </c>
      <c r="D240" s="16" t="str">
        <f aca="false">IFERROR(INDEX('Staff Master'!$B$5:$B$24,MATCH(C240,'Staff Master'!$A$5:$A$24,0)),"")</f>
        <v>Imran Sheikh</v>
      </c>
      <c r="E240" s="16" t="str">
        <f aca="false">IFERROR(INDEX('Staff Master'!$D$5:$D$24,MATCH(C240,'Staff Master'!$A$5:$A$24,0)),"")</f>
        <v>Dental Laboratory</v>
      </c>
      <c r="F240" s="16" t="str">
        <f aca="false">IFERROR(INDEX('Staff Master'!$E$5:$E$24,MATCH(C240,'Staff Master'!$A$5:$A$24,0)),"")</f>
        <v>Dental Technician</v>
      </c>
      <c r="G240" s="10" t="s">
        <v>87</v>
      </c>
      <c r="H240" s="17" t="n">
        <f aca="false">IFERROR(INDEX('Shift Master'!$C$5:$C$16,MATCH(G240,'Shift Master'!$A$5:$A$16,0)),"")</f>
        <v>0.333333333333333</v>
      </c>
      <c r="I240" s="17" t="n">
        <f aca="false">IFERROR(INDEX('Shift Master'!$D$5:$D$16,MATCH(G240,'Shift Master'!$A$5:$A$16,0)),"")</f>
        <v>0.708333333333333</v>
      </c>
      <c r="J240" s="16" t="n">
        <f aca="false">IFERROR(INDEX('Shift Master'!$E$5:$E$16,MATCH(G240,'Shift Master'!$A$5:$A$16,0)),"")</f>
        <v>60</v>
      </c>
      <c r="K240" s="16" t="n">
        <f aca="false">IFERROR(INDEX('Shift Master'!$G$5:$G$16,MATCH(G240,'Shift Master'!$A$5:$A$16,0)),0)</f>
        <v>8</v>
      </c>
      <c r="L240" s="16" t="s">
        <v>228</v>
      </c>
      <c r="M240" s="16" t="s">
        <v>229</v>
      </c>
      <c r="N240" s="16" t="str">
        <f aca="false">IF(COUNTIFS('Staffing Coverage'!$A$5:$A$12,E240,'Staffing Coverage'!$B$5:$B$12,G240)=0,"",IF(COUNTIFS($A$5:$A$10004,A240,$E$5:$E$10004,E240,$G$5:$G$10004,G240)&lt;INDEX('Staffing Coverage'!$C$5:$C$12,MATCH(1,('Staffing Coverage'!$A$5:$A$12=E240)*('Staffing Coverage'!$B$5:$B$12=G240),0)),"SHORT","OK"))</f>
        <v/>
      </c>
    </row>
    <row r="241" customFormat="false" ht="15" hidden="false" customHeight="false" outlineLevel="0" collapsed="false">
      <c r="A241" s="15" t="n">
        <v>46307</v>
      </c>
      <c r="B241" s="16" t="str">
        <f aca="false">TEXT(A241,"ddd")</f>
        <v>Mon</v>
      </c>
      <c r="C241" s="10" t="s">
        <v>204</v>
      </c>
      <c r="D241" s="16" t="str">
        <f aca="false">IFERROR(INDEX('Staff Master'!$B$5:$B$24,MATCH(C241,'Staff Master'!$A$5:$A$24,0)),"")</f>
        <v>Josephine Cruz</v>
      </c>
      <c r="E241" s="16" t="str">
        <f aca="false">IFERROR(INDEX('Staff Master'!$D$5:$D$24,MATCH(C241,'Staff Master'!$A$5:$A$24,0)),"")</f>
        <v>CSSD</v>
      </c>
      <c r="F241" s="16" t="str">
        <f aca="false">IFERROR(INDEX('Staff Master'!$E$5:$E$24,MATCH(C241,'Staff Master'!$A$5:$A$24,0)),"")</f>
        <v>CSSD Technician</v>
      </c>
      <c r="G241" s="10" t="s">
        <v>87</v>
      </c>
      <c r="H241" s="17" t="n">
        <f aca="false">IFERROR(INDEX('Shift Master'!$C$5:$C$16,MATCH(G241,'Shift Master'!$A$5:$A$16,0)),"")</f>
        <v>0.333333333333333</v>
      </c>
      <c r="I241" s="17" t="n">
        <f aca="false">IFERROR(INDEX('Shift Master'!$D$5:$D$16,MATCH(G241,'Shift Master'!$A$5:$A$16,0)),"")</f>
        <v>0.708333333333333</v>
      </c>
      <c r="J241" s="16" t="n">
        <f aca="false">IFERROR(INDEX('Shift Master'!$E$5:$E$16,MATCH(G241,'Shift Master'!$A$5:$A$16,0)),"")</f>
        <v>60</v>
      </c>
      <c r="K241" s="16" t="n">
        <f aca="false">IFERROR(INDEX('Shift Master'!$G$5:$G$16,MATCH(G241,'Shift Master'!$A$5:$A$16,0)),0)</f>
        <v>8</v>
      </c>
      <c r="L241" s="16" t="s">
        <v>228</v>
      </c>
      <c r="M241" s="16" t="s">
        <v>229</v>
      </c>
      <c r="N241" s="16" t="str">
        <f aca="false">IF(COUNTIFS('Staffing Coverage'!$A$5:$A$12,E241,'Staffing Coverage'!$B$5:$B$12,G241)=0,"",IF(COUNTIFS($A$5:$A$10004,A241,$E$5:$E$10004,E241,$G$5:$G$10004,G241)&lt;INDEX('Staffing Coverage'!$C$5:$C$12,MATCH(1,('Staffing Coverage'!$A$5:$A$12=E241)*('Staffing Coverage'!$B$5:$B$12=G241),0)),"SHORT","OK"))</f>
        <v>OK</v>
      </c>
    </row>
    <row r="242" customFormat="false" ht="15" hidden="false" customHeight="false" outlineLevel="0" collapsed="false">
      <c r="A242" s="15" t="n">
        <v>46307</v>
      </c>
      <c r="B242" s="16" t="str">
        <f aca="false">TEXT(A242,"ddd")</f>
        <v>Mon</v>
      </c>
      <c r="C242" s="10" t="s">
        <v>208</v>
      </c>
      <c r="D242" s="16" t="str">
        <f aca="false">IFERROR(INDEX('Staff Master'!$B$5:$B$24,MATCH(C242,'Staff Master'!$A$5:$A$24,0)),"")</f>
        <v>Rosalyn Tan</v>
      </c>
      <c r="E242" s="16" t="str">
        <f aca="false">IFERROR(INDEX('Staff Master'!$D$5:$D$24,MATCH(C242,'Staff Master'!$A$5:$A$24,0)),"")</f>
        <v>Cleaning</v>
      </c>
      <c r="F242" s="16" t="str">
        <f aca="false">IFERROR(INDEX('Staff Master'!$E$5:$E$24,MATCH(C242,'Staff Master'!$A$5:$A$24,0)),"")</f>
        <v>Cleaner</v>
      </c>
      <c r="G242" s="10" t="s">
        <v>87</v>
      </c>
      <c r="H242" s="17" t="n">
        <f aca="false">IFERROR(INDEX('Shift Master'!$C$5:$C$16,MATCH(G242,'Shift Master'!$A$5:$A$16,0)),"")</f>
        <v>0.333333333333333</v>
      </c>
      <c r="I242" s="17" t="n">
        <f aca="false">IFERROR(INDEX('Shift Master'!$D$5:$D$16,MATCH(G242,'Shift Master'!$A$5:$A$16,0)),"")</f>
        <v>0.708333333333333</v>
      </c>
      <c r="J242" s="16" t="n">
        <f aca="false">IFERROR(INDEX('Shift Master'!$E$5:$E$16,MATCH(G242,'Shift Master'!$A$5:$A$16,0)),"")</f>
        <v>60</v>
      </c>
      <c r="K242" s="16" t="n">
        <f aca="false">IFERROR(INDEX('Shift Master'!$G$5:$G$16,MATCH(G242,'Shift Master'!$A$5:$A$16,0)),0)</f>
        <v>8</v>
      </c>
      <c r="L242" s="16" t="s">
        <v>228</v>
      </c>
      <c r="M242" s="16" t="s">
        <v>229</v>
      </c>
      <c r="N242" s="16" t="str">
        <f aca="false">IF(COUNTIFS('Staffing Coverage'!$A$5:$A$12,E242,'Staffing Coverage'!$B$5:$B$12,G242)=0,"",IF(COUNTIFS($A$5:$A$10004,A242,$E$5:$E$10004,E242,$G$5:$G$10004,G242)&lt;INDEX('Staffing Coverage'!$C$5:$C$12,MATCH(1,('Staffing Coverage'!$A$5:$A$12=E242)*('Staffing Coverage'!$B$5:$B$12=G242),0)),"SHORT","OK"))</f>
        <v>OK</v>
      </c>
    </row>
    <row r="243" customFormat="false" ht="15" hidden="false" customHeight="false" outlineLevel="0" collapsed="false">
      <c r="A243" s="15" t="n">
        <v>46307</v>
      </c>
      <c r="B243" s="16" t="str">
        <f aca="false">TEXT(A243,"ddd")</f>
        <v>Mon</v>
      </c>
      <c r="C243" s="10" t="s">
        <v>212</v>
      </c>
      <c r="D243" s="16" t="str">
        <f aca="false">IFERROR(INDEX('Staff Master'!$B$5:$B$24,MATCH(C243,'Staff Master'!$A$5:$A$24,0)),"")</f>
        <v>Hassan Baig</v>
      </c>
      <c r="E243" s="16" t="str">
        <f aca="false">IFERROR(INDEX('Staff Master'!$D$5:$D$24,MATCH(C243,'Staff Master'!$A$5:$A$24,0)),"")</f>
        <v>Facilities</v>
      </c>
      <c r="F243" s="16" t="str">
        <f aca="false">IFERROR(INDEX('Staff Master'!$E$5:$E$24,MATCH(C243,'Staff Master'!$A$5:$A$24,0)),"")</f>
        <v>Facility Manager</v>
      </c>
      <c r="G243" s="10" t="s">
        <v>90</v>
      </c>
      <c r="H243" s="17" t="n">
        <f aca="false">IFERROR(INDEX('Shift Master'!$C$5:$C$16,MATCH(G243,'Shift Master'!$A$5:$A$16,0)),"")</f>
        <v>0.375</v>
      </c>
      <c r="I243" s="17" t="n">
        <f aca="false">IFERROR(INDEX('Shift Master'!$D$5:$D$16,MATCH(G243,'Shift Master'!$A$5:$A$16,0)),"")</f>
        <v>0.75</v>
      </c>
      <c r="J243" s="16" t="n">
        <f aca="false">IFERROR(INDEX('Shift Master'!$E$5:$E$16,MATCH(G243,'Shift Master'!$A$5:$A$16,0)),"")</f>
        <v>60</v>
      </c>
      <c r="K243" s="16" t="n">
        <f aca="false">IFERROR(INDEX('Shift Master'!$G$5:$G$16,MATCH(G243,'Shift Master'!$A$5:$A$16,0)),0)</f>
        <v>8</v>
      </c>
      <c r="L243" s="16" t="s">
        <v>228</v>
      </c>
      <c r="M243" s="16" t="s">
        <v>229</v>
      </c>
      <c r="N243" s="16" t="str">
        <f aca="false">IF(COUNTIFS('Staffing Coverage'!$A$5:$A$12,E243,'Staffing Coverage'!$B$5:$B$12,G243)=0,"",IF(COUNTIFS($A$5:$A$10004,A243,$E$5:$E$10004,E243,$G$5:$G$10004,G243)&lt;INDEX('Staffing Coverage'!$C$5:$C$12,MATCH(1,('Staffing Coverage'!$A$5:$A$12=E243)*('Staffing Coverage'!$B$5:$B$12=G243),0)),"SHORT","OK"))</f>
        <v/>
      </c>
    </row>
    <row r="244" customFormat="false" ht="15" hidden="false" customHeight="false" outlineLevel="0" collapsed="false">
      <c r="A244" s="15" t="n">
        <v>46307</v>
      </c>
      <c r="B244" s="16" t="str">
        <f aca="false">TEXT(A244,"ddd")</f>
        <v>Mon</v>
      </c>
      <c r="C244" s="10" t="s">
        <v>178</v>
      </c>
      <c r="D244" s="16" t="str">
        <f aca="false">IFERROR(INDEX('Staff Master'!$B$5:$B$24,MATCH(C244,'Staff Master'!$A$5:$A$24,0)),"")</f>
        <v>Meera Pillai</v>
      </c>
      <c r="E244" s="16" t="str">
        <f aca="false">IFERROR(INDEX('Staff Master'!$D$5:$D$24,MATCH(C244,'Staff Master'!$A$5:$A$24,0)),"")</f>
        <v>HR</v>
      </c>
      <c r="F244" s="16" t="str">
        <f aca="false">IFERROR(INDEX('Staff Master'!$E$5:$E$24,MATCH(C244,'Staff Master'!$A$5:$A$24,0)),"")</f>
        <v>HR Executive</v>
      </c>
      <c r="G244" s="10" t="s">
        <v>90</v>
      </c>
      <c r="H244" s="17" t="n">
        <f aca="false">IFERROR(INDEX('Shift Master'!$C$5:$C$16,MATCH(G244,'Shift Master'!$A$5:$A$16,0)),"")</f>
        <v>0.375</v>
      </c>
      <c r="I244" s="17" t="n">
        <f aca="false">IFERROR(INDEX('Shift Master'!$D$5:$D$16,MATCH(G244,'Shift Master'!$A$5:$A$16,0)),"")</f>
        <v>0.75</v>
      </c>
      <c r="J244" s="16" t="n">
        <f aca="false">IFERROR(INDEX('Shift Master'!$E$5:$E$16,MATCH(G244,'Shift Master'!$A$5:$A$16,0)),"")</f>
        <v>60</v>
      </c>
      <c r="K244" s="16" t="n">
        <f aca="false">IFERROR(INDEX('Shift Master'!$G$5:$G$16,MATCH(G244,'Shift Master'!$A$5:$A$16,0)),0)</f>
        <v>8</v>
      </c>
      <c r="L244" s="16" t="s">
        <v>228</v>
      </c>
      <c r="M244" s="16" t="s">
        <v>229</v>
      </c>
      <c r="N244" s="16" t="str">
        <f aca="false">IF(COUNTIFS('Staffing Coverage'!$A$5:$A$12,E244,'Staffing Coverage'!$B$5:$B$12,G244)=0,"",IF(COUNTIFS($A$5:$A$10004,A244,$E$5:$E$10004,E244,$G$5:$G$10004,G244)&lt;INDEX('Staffing Coverage'!$C$5:$C$12,MATCH(1,('Staffing Coverage'!$A$5:$A$12=E244)*('Staffing Coverage'!$B$5:$B$12=G244),0)),"SHORT","OK"))</f>
        <v/>
      </c>
    </row>
    <row r="245" customFormat="false" ht="15" hidden="false" customHeight="false" outlineLevel="0" collapsed="false">
      <c r="A245" s="15" t="n">
        <v>46308</v>
      </c>
      <c r="B245" s="16" t="str">
        <f aca="false">TEXT(A245,"ddd")</f>
        <v>Tue</v>
      </c>
      <c r="C245" s="10" t="s">
        <v>128</v>
      </c>
      <c r="D245" s="16" t="str">
        <f aca="false">IFERROR(INDEX('Staff Master'!$B$5:$B$24,MATCH(C245,'Staff Master'!$A$5:$A$24,0)),"")</f>
        <v>Rashid Al Nuaimi</v>
      </c>
      <c r="E245" s="16" t="str">
        <f aca="false">IFERROR(INDEX('Staff Master'!$D$5:$D$24,MATCH(C245,'Staff Master'!$A$5:$A$24,0)),"")</f>
        <v>Management</v>
      </c>
      <c r="F245" s="16" t="str">
        <f aca="false">IFERROR(INDEX('Staff Master'!$E$5:$E$24,MATCH(C245,'Staff Master'!$A$5:$A$24,0)),"")</f>
        <v>CEO</v>
      </c>
      <c r="G245" s="10" t="s">
        <v>90</v>
      </c>
      <c r="H245" s="17" t="n">
        <f aca="false">IFERROR(INDEX('Shift Master'!$C$5:$C$16,MATCH(G245,'Shift Master'!$A$5:$A$16,0)),"")</f>
        <v>0.375</v>
      </c>
      <c r="I245" s="17" t="n">
        <f aca="false">IFERROR(INDEX('Shift Master'!$D$5:$D$16,MATCH(G245,'Shift Master'!$A$5:$A$16,0)),"")</f>
        <v>0.75</v>
      </c>
      <c r="J245" s="16" t="n">
        <f aca="false">IFERROR(INDEX('Shift Master'!$E$5:$E$16,MATCH(G245,'Shift Master'!$A$5:$A$16,0)),"")</f>
        <v>60</v>
      </c>
      <c r="K245" s="16" t="n">
        <f aca="false">IFERROR(INDEX('Shift Master'!$G$5:$G$16,MATCH(G245,'Shift Master'!$A$5:$A$16,0)),0)</f>
        <v>8</v>
      </c>
      <c r="L245" s="16" t="s">
        <v>228</v>
      </c>
      <c r="M245" s="16" t="s">
        <v>229</v>
      </c>
      <c r="N245" s="16" t="str">
        <f aca="false">IF(COUNTIFS('Staffing Coverage'!$A$5:$A$12,E245,'Staffing Coverage'!$B$5:$B$12,G245)=0,"",IF(COUNTIFS($A$5:$A$10004,A245,$E$5:$E$10004,E245,$G$5:$G$10004,G245)&lt;INDEX('Staffing Coverage'!$C$5:$C$12,MATCH(1,('Staffing Coverage'!$A$5:$A$12=E245)*('Staffing Coverage'!$B$5:$B$12=G245),0)),"SHORT","OK"))</f>
        <v/>
      </c>
    </row>
    <row r="246" customFormat="false" ht="15" hidden="false" customHeight="false" outlineLevel="0" collapsed="false">
      <c r="A246" s="15" t="n">
        <v>46308</v>
      </c>
      <c r="B246" s="16" t="str">
        <f aca="false">TEXT(A246,"ddd")</f>
        <v>Tue</v>
      </c>
      <c r="C246" s="10" t="s">
        <v>137</v>
      </c>
      <c r="D246" s="16" t="str">
        <f aca="false">IFERROR(INDEX('Staff Master'!$B$5:$B$24,MATCH(C246,'Staff Master'!$A$5:$A$24,0)),"")</f>
        <v>Dr. Sara Haddad</v>
      </c>
      <c r="E246" s="16" t="str">
        <f aca="false">IFERROR(INDEX('Staff Master'!$D$5:$D$24,MATCH(C246,'Staff Master'!$A$5:$A$24,0)),"")</f>
        <v>General Practice</v>
      </c>
      <c r="F246" s="16" t="str">
        <f aca="false">IFERROR(INDEX('Staff Master'!$E$5:$E$24,MATCH(C246,'Staff Master'!$A$5:$A$24,0)),"")</f>
        <v>Medical Director</v>
      </c>
      <c r="G246" s="10" t="s">
        <v>96</v>
      </c>
      <c r="H246" s="17" t="n">
        <f aca="false">IFERROR(INDEX('Shift Master'!$C$5:$C$16,MATCH(G246,'Shift Master'!$A$5:$A$16,0)),"")</f>
        <v>0.375</v>
      </c>
      <c r="I246" s="17" t="n">
        <f aca="false">IFERROR(INDEX('Shift Master'!$D$5:$D$16,MATCH(G246,'Shift Master'!$A$5:$A$16,0)),"")</f>
        <v>0.708333333333333</v>
      </c>
      <c r="J246" s="16" t="n">
        <f aca="false">IFERROR(INDEX('Shift Master'!$E$5:$E$16,MATCH(G246,'Shift Master'!$A$5:$A$16,0)),"")</f>
        <v>60</v>
      </c>
      <c r="K246" s="16" t="n">
        <f aca="false">IFERROR(INDEX('Shift Master'!$G$5:$G$16,MATCH(G246,'Shift Master'!$A$5:$A$16,0)),0)</f>
        <v>7</v>
      </c>
      <c r="L246" s="16" t="s">
        <v>228</v>
      </c>
      <c r="M246" s="16" t="s">
        <v>229</v>
      </c>
      <c r="N246" s="16" t="str">
        <f aca="false">IF(COUNTIFS('Staffing Coverage'!$A$5:$A$12,E246,'Staffing Coverage'!$B$5:$B$12,G246)=0,"",IF(COUNTIFS($A$5:$A$10004,A246,$E$5:$E$10004,E246,$G$5:$G$10004,G246)&lt;INDEX('Staffing Coverage'!$C$5:$C$12,MATCH(1,('Staffing Coverage'!$A$5:$A$12=E246)*('Staffing Coverage'!$B$5:$B$12=G246),0)),"SHORT","OK"))</f>
        <v/>
      </c>
    </row>
    <row r="247" customFormat="false" ht="15" hidden="false" customHeight="false" outlineLevel="0" collapsed="false">
      <c r="A247" s="15" t="n">
        <v>46308</v>
      </c>
      <c r="B247" s="16" t="str">
        <f aca="false">TEXT(A247,"ddd")</f>
        <v>Tue</v>
      </c>
      <c r="C247" s="10" t="s">
        <v>142</v>
      </c>
      <c r="D247" s="16" t="str">
        <f aca="false">IFERROR(INDEX('Staff Master'!$B$5:$B$24,MATCH(C247,'Staff Master'!$A$5:$A$24,0)),"")</f>
        <v>Dr. Omar Khalil</v>
      </c>
      <c r="E247" s="16" t="str">
        <f aca="false">IFERROR(INDEX('Staff Master'!$D$5:$D$24,MATCH(C247,'Staff Master'!$A$5:$A$24,0)),"")</f>
        <v>General Practice</v>
      </c>
      <c r="F247" s="16" t="str">
        <f aca="false">IFERROR(INDEX('Staff Master'!$E$5:$E$24,MATCH(C247,'Staff Master'!$A$5:$A$24,0)),"")</f>
        <v>Doctor</v>
      </c>
      <c r="G247" s="10" t="s">
        <v>96</v>
      </c>
      <c r="H247" s="17" t="n">
        <f aca="false">IFERROR(INDEX('Shift Master'!$C$5:$C$16,MATCH(G247,'Shift Master'!$A$5:$A$16,0)),"")</f>
        <v>0.375</v>
      </c>
      <c r="I247" s="17" t="n">
        <f aca="false">IFERROR(INDEX('Shift Master'!$D$5:$D$16,MATCH(G247,'Shift Master'!$A$5:$A$16,0)),"")</f>
        <v>0.708333333333333</v>
      </c>
      <c r="J247" s="16" t="n">
        <f aca="false">IFERROR(INDEX('Shift Master'!$E$5:$E$16,MATCH(G247,'Shift Master'!$A$5:$A$16,0)),"")</f>
        <v>60</v>
      </c>
      <c r="K247" s="16" t="n">
        <f aca="false">IFERROR(INDEX('Shift Master'!$G$5:$G$16,MATCH(G247,'Shift Master'!$A$5:$A$16,0)),0)</f>
        <v>7</v>
      </c>
      <c r="L247" s="16" t="s">
        <v>228</v>
      </c>
      <c r="M247" s="16" t="s">
        <v>229</v>
      </c>
      <c r="N247" s="16" t="str">
        <f aca="false">IF(COUNTIFS('Staffing Coverage'!$A$5:$A$12,E247,'Staffing Coverage'!$B$5:$B$12,G247)=0,"",IF(COUNTIFS($A$5:$A$10004,A247,$E$5:$E$10004,E247,$G$5:$G$10004,G247)&lt;INDEX('Staffing Coverage'!$C$5:$C$12,MATCH(1,('Staffing Coverage'!$A$5:$A$12=E247)*('Staffing Coverage'!$B$5:$B$12=G247),0)),"SHORT","OK"))</f>
        <v/>
      </c>
    </row>
    <row r="248" customFormat="false" ht="15" hidden="false" customHeight="false" outlineLevel="0" collapsed="false">
      <c r="A248" s="15" t="n">
        <v>46308</v>
      </c>
      <c r="B248" s="16" t="str">
        <f aca="false">TEXT(A248,"ddd")</f>
        <v>Tue</v>
      </c>
      <c r="C248" s="10" t="s">
        <v>146</v>
      </c>
      <c r="D248" s="16" t="str">
        <f aca="false">IFERROR(INDEX('Staff Master'!$B$5:$B$24,MATCH(C248,'Staff Master'!$A$5:$A$24,0)),"")</f>
        <v>Dr. Lina Abboud</v>
      </c>
      <c r="E248" s="16" t="str">
        <f aca="false">IFERROR(INDEX('Staff Master'!$D$5:$D$24,MATCH(C248,'Staff Master'!$A$5:$A$24,0)),"")</f>
        <v>Dental</v>
      </c>
      <c r="F248" s="16" t="str">
        <f aca="false">IFERROR(INDEX('Staff Master'!$E$5:$E$24,MATCH(C248,'Staff Master'!$A$5:$A$24,0)),"")</f>
        <v>Dentist</v>
      </c>
      <c r="G248" s="10" t="s">
        <v>96</v>
      </c>
      <c r="H248" s="17" t="n">
        <f aca="false">IFERROR(INDEX('Shift Master'!$C$5:$C$16,MATCH(G248,'Shift Master'!$A$5:$A$16,0)),"")</f>
        <v>0.375</v>
      </c>
      <c r="I248" s="17" t="n">
        <f aca="false">IFERROR(INDEX('Shift Master'!$D$5:$D$16,MATCH(G248,'Shift Master'!$A$5:$A$16,0)),"")</f>
        <v>0.708333333333333</v>
      </c>
      <c r="J248" s="16" t="n">
        <f aca="false">IFERROR(INDEX('Shift Master'!$E$5:$E$16,MATCH(G248,'Shift Master'!$A$5:$A$16,0)),"")</f>
        <v>60</v>
      </c>
      <c r="K248" s="16" t="n">
        <f aca="false">IFERROR(INDEX('Shift Master'!$G$5:$G$16,MATCH(G248,'Shift Master'!$A$5:$A$16,0)),0)</f>
        <v>7</v>
      </c>
      <c r="L248" s="16" t="s">
        <v>228</v>
      </c>
      <c r="M248" s="16" t="s">
        <v>229</v>
      </c>
      <c r="N248" s="16" t="str">
        <f aca="false">IF(COUNTIFS('Staffing Coverage'!$A$5:$A$12,E248,'Staffing Coverage'!$B$5:$B$12,G248)=0,"",IF(COUNTIFS($A$5:$A$10004,A248,$E$5:$E$10004,E248,$G$5:$G$10004,G248)&lt;INDEX('Staffing Coverage'!$C$5:$C$12,MATCH(1,('Staffing Coverage'!$A$5:$A$12=E248)*('Staffing Coverage'!$B$5:$B$12=G248),0)),"SHORT","OK"))</f>
        <v/>
      </c>
    </row>
    <row r="249" customFormat="false" ht="15" hidden="false" customHeight="false" outlineLevel="0" collapsed="false">
      <c r="A249" s="15" t="n">
        <v>46308</v>
      </c>
      <c r="B249" s="16" t="str">
        <f aca="false">TEXT(A249,"ddd")</f>
        <v>Tue</v>
      </c>
      <c r="C249" s="10" t="s">
        <v>150</v>
      </c>
      <c r="D249" s="16" t="str">
        <f aca="false">IFERROR(INDEX('Staff Master'!$B$5:$B$24,MATCH(C249,'Staff Master'!$A$5:$A$24,0)),"")</f>
        <v>Dr. Farah Idris</v>
      </c>
      <c r="E249" s="16" t="str">
        <f aca="false">IFERROR(INDEX('Staff Master'!$D$5:$D$24,MATCH(C249,'Staff Master'!$A$5:$A$24,0)),"")</f>
        <v>Dental</v>
      </c>
      <c r="F249" s="16" t="str">
        <f aca="false">IFERROR(INDEX('Staff Master'!$E$5:$E$24,MATCH(C249,'Staff Master'!$A$5:$A$24,0)),"")</f>
        <v>Dentist</v>
      </c>
      <c r="G249" s="10" t="s">
        <v>96</v>
      </c>
      <c r="H249" s="17" t="n">
        <f aca="false">IFERROR(INDEX('Shift Master'!$C$5:$C$16,MATCH(G249,'Shift Master'!$A$5:$A$16,0)),"")</f>
        <v>0.375</v>
      </c>
      <c r="I249" s="17" t="n">
        <f aca="false">IFERROR(INDEX('Shift Master'!$D$5:$D$16,MATCH(G249,'Shift Master'!$A$5:$A$16,0)),"")</f>
        <v>0.708333333333333</v>
      </c>
      <c r="J249" s="16" t="n">
        <f aca="false">IFERROR(INDEX('Shift Master'!$E$5:$E$16,MATCH(G249,'Shift Master'!$A$5:$A$16,0)),"")</f>
        <v>60</v>
      </c>
      <c r="K249" s="16" t="n">
        <f aca="false">IFERROR(INDEX('Shift Master'!$G$5:$G$16,MATCH(G249,'Shift Master'!$A$5:$A$16,0)),0)</f>
        <v>7</v>
      </c>
      <c r="L249" s="16" t="s">
        <v>228</v>
      </c>
      <c r="M249" s="16" t="s">
        <v>229</v>
      </c>
      <c r="N249" s="16" t="str">
        <f aca="false">IF(COUNTIFS('Staffing Coverage'!$A$5:$A$12,E249,'Staffing Coverage'!$B$5:$B$12,G249)=0,"",IF(COUNTIFS($A$5:$A$10004,A249,$E$5:$E$10004,E249,$G$5:$G$10004,G249)&lt;INDEX('Staffing Coverage'!$C$5:$C$12,MATCH(1,('Staffing Coverage'!$A$5:$A$12=E249)*('Staffing Coverage'!$B$5:$B$12=G249),0)),"SHORT","OK"))</f>
        <v/>
      </c>
    </row>
    <row r="250" customFormat="false" ht="15" hidden="false" customHeight="false" outlineLevel="0" collapsed="false">
      <c r="A250" s="15" t="n">
        <v>46308</v>
      </c>
      <c r="B250" s="16" t="str">
        <f aca="false">TEXT(A250,"ddd")</f>
        <v>Tue</v>
      </c>
      <c r="C250" s="10" t="s">
        <v>157</v>
      </c>
      <c r="D250" s="16" t="str">
        <f aca="false">IFERROR(INDEX('Staff Master'!$B$5:$B$24,MATCH(C250,'Staff Master'!$A$5:$A$24,0)),"")</f>
        <v>Dr. Youssef Nassar</v>
      </c>
      <c r="E250" s="16" t="str">
        <f aca="false">IFERROR(INDEX('Staff Master'!$D$5:$D$24,MATCH(C250,'Staff Master'!$A$5:$A$24,0)),"")</f>
        <v>General Practice</v>
      </c>
      <c r="F250" s="16" t="str">
        <f aca="false">IFERROR(INDEX('Staff Master'!$E$5:$E$24,MATCH(C250,'Staff Master'!$A$5:$A$24,0)),"")</f>
        <v>General Practitioner</v>
      </c>
      <c r="G250" s="10" t="s">
        <v>96</v>
      </c>
      <c r="H250" s="17" t="n">
        <f aca="false">IFERROR(INDEX('Shift Master'!$C$5:$C$16,MATCH(G250,'Shift Master'!$A$5:$A$16,0)),"")</f>
        <v>0.375</v>
      </c>
      <c r="I250" s="17" t="n">
        <f aca="false">IFERROR(INDEX('Shift Master'!$D$5:$D$16,MATCH(G250,'Shift Master'!$A$5:$A$16,0)),"")</f>
        <v>0.708333333333333</v>
      </c>
      <c r="J250" s="16" t="n">
        <f aca="false">IFERROR(INDEX('Shift Master'!$E$5:$E$16,MATCH(G250,'Shift Master'!$A$5:$A$16,0)),"")</f>
        <v>60</v>
      </c>
      <c r="K250" s="16" t="n">
        <f aca="false">IFERROR(INDEX('Shift Master'!$G$5:$G$16,MATCH(G250,'Shift Master'!$A$5:$A$16,0)),0)</f>
        <v>7</v>
      </c>
      <c r="L250" s="16" t="s">
        <v>228</v>
      </c>
      <c r="M250" s="16" t="s">
        <v>229</v>
      </c>
      <c r="N250" s="16" t="str">
        <f aca="false">IF(COUNTIFS('Staffing Coverage'!$A$5:$A$12,E250,'Staffing Coverage'!$B$5:$B$12,G250)=0,"",IF(COUNTIFS($A$5:$A$10004,A250,$E$5:$E$10004,E250,$G$5:$G$10004,G250)&lt;INDEX('Staffing Coverage'!$C$5:$C$12,MATCH(1,('Staffing Coverage'!$A$5:$A$12=E250)*('Staffing Coverage'!$B$5:$B$12=G250),0)),"SHORT","OK"))</f>
        <v/>
      </c>
    </row>
    <row r="251" customFormat="false" ht="15" hidden="false" customHeight="false" outlineLevel="0" collapsed="false">
      <c r="A251" s="15" t="n">
        <v>46308</v>
      </c>
      <c r="B251" s="16" t="str">
        <f aca="false">TEXT(A251,"ddd")</f>
        <v>Tue</v>
      </c>
      <c r="C251" s="10" t="s">
        <v>161</v>
      </c>
      <c r="D251" s="16" t="str">
        <f aca="false">IFERROR(INDEX('Staff Master'!$B$5:$B$24,MATCH(C251,'Staff Master'!$A$5:$A$24,0)),"")</f>
        <v>Grace Fernandez</v>
      </c>
      <c r="E251" s="16" t="str">
        <f aca="false">IFERROR(INDEX('Staff Master'!$D$5:$D$24,MATCH(C251,'Staff Master'!$A$5:$A$24,0)),"")</f>
        <v>Nursing</v>
      </c>
      <c r="F251" s="16" t="str">
        <f aca="false">IFERROR(INDEX('Staff Master'!$E$5:$E$24,MATCH(C251,'Staff Master'!$A$5:$A$24,0)),"")</f>
        <v>Nurse</v>
      </c>
      <c r="G251" s="10" t="s">
        <v>87</v>
      </c>
      <c r="H251" s="17" t="n">
        <f aca="false">IFERROR(INDEX('Shift Master'!$C$5:$C$16,MATCH(G251,'Shift Master'!$A$5:$A$16,0)),"")</f>
        <v>0.333333333333333</v>
      </c>
      <c r="I251" s="17" t="n">
        <f aca="false">IFERROR(INDEX('Shift Master'!$D$5:$D$16,MATCH(G251,'Shift Master'!$A$5:$A$16,0)),"")</f>
        <v>0.708333333333333</v>
      </c>
      <c r="J251" s="16" t="n">
        <f aca="false">IFERROR(INDEX('Shift Master'!$E$5:$E$16,MATCH(G251,'Shift Master'!$A$5:$A$16,0)),"")</f>
        <v>60</v>
      </c>
      <c r="K251" s="16" t="n">
        <f aca="false">IFERROR(INDEX('Shift Master'!$G$5:$G$16,MATCH(G251,'Shift Master'!$A$5:$A$16,0)),0)</f>
        <v>8</v>
      </c>
      <c r="L251" s="16" t="s">
        <v>228</v>
      </c>
      <c r="M251" s="16" t="s">
        <v>229</v>
      </c>
      <c r="N251" s="16" t="str">
        <f aca="false">IF(COUNTIFS('Staffing Coverage'!$A$5:$A$12,E251,'Staffing Coverage'!$B$5:$B$12,G251)=0,"",IF(COUNTIFS($A$5:$A$10004,A251,$E$5:$E$10004,E251,$G$5:$G$10004,G251)&lt;INDEX('Staffing Coverage'!$C$5:$C$12,MATCH(1,('Staffing Coverage'!$A$5:$A$12=E251)*('Staffing Coverage'!$B$5:$B$12=G251),0)),"SHORT","OK"))</f>
        <v>OK</v>
      </c>
    </row>
    <row r="252" customFormat="false" ht="15" hidden="false" customHeight="false" outlineLevel="0" collapsed="false">
      <c r="A252" s="15" t="n">
        <v>46308</v>
      </c>
      <c r="B252" s="16" t="str">
        <f aca="false">TEXT(A252,"ddd")</f>
        <v>Tue</v>
      </c>
      <c r="C252" s="10" t="s">
        <v>165</v>
      </c>
      <c r="D252" s="16" t="str">
        <f aca="false">IFERROR(INDEX('Staff Master'!$B$5:$B$24,MATCH(C252,'Staff Master'!$A$5:$A$24,0)),"")</f>
        <v>Priya Nair</v>
      </c>
      <c r="E252" s="16" t="str">
        <f aca="false">IFERROR(INDEX('Staff Master'!$D$5:$D$24,MATCH(C252,'Staff Master'!$A$5:$A$24,0)),"")</f>
        <v>Nursing</v>
      </c>
      <c r="F252" s="16" t="str">
        <f aca="false">IFERROR(INDEX('Staff Master'!$E$5:$E$24,MATCH(C252,'Staff Master'!$A$5:$A$24,0)),"")</f>
        <v>Nurse</v>
      </c>
      <c r="G252" s="10" t="s">
        <v>90</v>
      </c>
      <c r="H252" s="17" t="n">
        <f aca="false">IFERROR(INDEX('Shift Master'!$C$5:$C$16,MATCH(G252,'Shift Master'!$A$5:$A$16,0)),"")</f>
        <v>0.375</v>
      </c>
      <c r="I252" s="17" t="n">
        <f aca="false">IFERROR(INDEX('Shift Master'!$D$5:$D$16,MATCH(G252,'Shift Master'!$A$5:$A$16,0)),"")</f>
        <v>0.75</v>
      </c>
      <c r="J252" s="16" t="n">
        <f aca="false">IFERROR(INDEX('Shift Master'!$E$5:$E$16,MATCH(G252,'Shift Master'!$A$5:$A$16,0)),"")</f>
        <v>60</v>
      </c>
      <c r="K252" s="16" t="n">
        <f aca="false">IFERROR(INDEX('Shift Master'!$G$5:$G$16,MATCH(G252,'Shift Master'!$A$5:$A$16,0)),0)</f>
        <v>8</v>
      </c>
      <c r="L252" s="16" t="s">
        <v>228</v>
      </c>
      <c r="M252" s="16" t="s">
        <v>229</v>
      </c>
      <c r="N252" s="16" t="str">
        <f aca="false">IF(COUNTIFS('Staffing Coverage'!$A$5:$A$12,E252,'Staffing Coverage'!$B$5:$B$12,G252)=0,"",IF(COUNTIFS($A$5:$A$10004,A252,$E$5:$E$10004,E252,$G$5:$G$10004,G252)&lt;INDEX('Staffing Coverage'!$C$5:$C$12,MATCH(1,('Staffing Coverage'!$A$5:$A$12=E252)*('Staffing Coverage'!$B$5:$B$12=G252),0)),"SHORT","OK"))</f>
        <v>OK</v>
      </c>
    </row>
    <row r="253" customFormat="false" ht="15" hidden="false" customHeight="false" outlineLevel="0" collapsed="false">
      <c r="A253" s="15" t="n">
        <v>46308</v>
      </c>
      <c r="B253" s="16" t="str">
        <f aca="false">TEXT(A253,"ddd")</f>
        <v>Tue</v>
      </c>
      <c r="C253" s="10" t="s">
        <v>170</v>
      </c>
      <c r="D253" s="16" t="str">
        <f aca="false">IFERROR(INDEX('Staff Master'!$B$5:$B$24,MATCH(C253,'Staff Master'!$A$5:$A$24,0)),"")</f>
        <v>Maria Santos</v>
      </c>
      <c r="E253" s="16" t="str">
        <f aca="false">IFERROR(INDEX('Staff Master'!$D$5:$D$24,MATCH(C253,'Staff Master'!$A$5:$A$24,0)),"")</f>
        <v>Nursing</v>
      </c>
      <c r="F253" s="16" t="str">
        <f aca="false">IFERROR(INDEX('Staff Master'!$E$5:$E$24,MATCH(C253,'Staff Master'!$A$5:$A$24,0)),"")</f>
        <v>Nurse</v>
      </c>
      <c r="G253" s="10" t="s">
        <v>94</v>
      </c>
      <c r="H253" s="17" t="n">
        <f aca="false">IFERROR(INDEX('Shift Master'!$C$5:$C$16,MATCH(G253,'Shift Master'!$A$5:$A$16,0)),"")</f>
        <v>0.541666666666667</v>
      </c>
      <c r="I253" s="17" t="n">
        <f aca="false">IFERROR(INDEX('Shift Master'!$D$5:$D$16,MATCH(G253,'Shift Master'!$A$5:$A$16,0)),"")</f>
        <v>0.916666666666667</v>
      </c>
      <c r="J253" s="16" t="n">
        <f aca="false">IFERROR(INDEX('Shift Master'!$E$5:$E$16,MATCH(G253,'Shift Master'!$A$5:$A$16,0)),"")</f>
        <v>60</v>
      </c>
      <c r="K253" s="16" t="n">
        <f aca="false">IFERROR(INDEX('Shift Master'!$G$5:$G$16,MATCH(G253,'Shift Master'!$A$5:$A$16,0)),0)</f>
        <v>8</v>
      </c>
      <c r="L253" s="16" t="s">
        <v>228</v>
      </c>
      <c r="M253" s="16" t="s">
        <v>229</v>
      </c>
      <c r="N253" s="16" t="str">
        <f aca="false">IF(COUNTIFS('Staffing Coverage'!$A$5:$A$12,E253,'Staffing Coverage'!$B$5:$B$12,G253)=0,"",IF(COUNTIFS($A$5:$A$10004,A253,$E$5:$E$10004,E253,$G$5:$G$10004,G253)&lt;INDEX('Staffing Coverage'!$C$5:$C$12,MATCH(1,('Staffing Coverage'!$A$5:$A$12=E253)*('Staffing Coverage'!$B$5:$B$12=G253),0)),"SHORT","OK"))</f>
        <v/>
      </c>
    </row>
    <row r="254" customFormat="false" ht="15" hidden="false" customHeight="false" outlineLevel="0" collapsed="false">
      <c r="A254" s="15" t="n">
        <v>46308</v>
      </c>
      <c r="B254" s="16" t="str">
        <f aca="false">TEXT(A254,"ddd")</f>
        <v>Tue</v>
      </c>
      <c r="C254" s="10" t="s">
        <v>174</v>
      </c>
      <c r="D254" s="16" t="str">
        <f aca="false">IFERROR(INDEX('Staff Master'!$B$5:$B$24,MATCH(C254,'Staff Master'!$A$5:$A$24,0)),"")</f>
        <v>Aisha Al Shamsi</v>
      </c>
      <c r="E254" s="16" t="str">
        <f aca="false">IFERROR(INDEX('Staff Master'!$D$5:$D$24,MATCH(C254,'Staff Master'!$A$5:$A$24,0)),"")</f>
        <v>Reception</v>
      </c>
      <c r="F254" s="16" t="str">
        <f aca="false">IFERROR(INDEX('Staff Master'!$E$5:$E$24,MATCH(C254,'Staff Master'!$A$5:$A$24,0)),"")</f>
        <v>Receptionist</v>
      </c>
      <c r="G254" s="10" t="s">
        <v>87</v>
      </c>
      <c r="H254" s="17" t="n">
        <f aca="false">IFERROR(INDEX('Shift Master'!$C$5:$C$16,MATCH(G254,'Shift Master'!$A$5:$A$16,0)),"")</f>
        <v>0.333333333333333</v>
      </c>
      <c r="I254" s="17" t="n">
        <f aca="false">IFERROR(INDEX('Shift Master'!$D$5:$D$16,MATCH(G254,'Shift Master'!$A$5:$A$16,0)),"")</f>
        <v>0.708333333333333</v>
      </c>
      <c r="J254" s="16" t="n">
        <f aca="false">IFERROR(INDEX('Shift Master'!$E$5:$E$16,MATCH(G254,'Shift Master'!$A$5:$A$16,0)),"")</f>
        <v>60</v>
      </c>
      <c r="K254" s="16" t="n">
        <f aca="false">IFERROR(INDEX('Shift Master'!$G$5:$G$16,MATCH(G254,'Shift Master'!$A$5:$A$16,0)),0)</f>
        <v>8</v>
      </c>
      <c r="L254" s="16" t="s">
        <v>228</v>
      </c>
      <c r="M254" s="16" t="s">
        <v>229</v>
      </c>
      <c r="N254" s="16" t="str">
        <f aca="false">IF(COUNTIFS('Staffing Coverage'!$A$5:$A$12,E254,'Staffing Coverage'!$B$5:$B$12,G254)=0,"",IF(COUNTIFS($A$5:$A$10004,A254,$E$5:$E$10004,E254,$G$5:$G$10004,G254)&lt;INDEX('Staffing Coverage'!$C$5:$C$12,MATCH(1,('Staffing Coverage'!$A$5:$A$12=E254)*('Staffing Coverage'!$B$5:$B$12=G254),0)),"SHORT","OK"))</f>
        <v>SHORT</v>
      </c>
    </row>
    <row r="255" customFormat="false" ht="15" hidden="false" customHeight="false" outlineLevel="0" collapsed="false">
      <c r="A255" s="15" t="n">
        <v>46308</v>
      </c>
      <c r="B255" s="16" t="str">
        <f aca="false">TEXT(A255,"ddd")</f>
        <v>Tue</v>
      </c>
      <c r="C255" s="10" t="s">
        <v>179</v>
      </c>
      <c r="D255" s="16" t="str">
        <f aca="false">IFERROR(INDEX('Staff Master'!$B$5:$B$24,MATCH(C255,'Staff Master'!$A$5:$A$24,0)),"")</f>
        <v>John Dsouza</v>
      </c>
      <c r="E255" s="16" t="str">
        <f aca="false">IFERROR(INDEX('Staff Master'!$D$5:$D$24,MATCH(C255,'Staff Master'!$A$5:$A$24,0)),"")</f>
        <v>Reception</v>
      </c>
      <c r="F255" s="16" t="str">
        <f aca="false">IFERROR(INDEX('Staff Master'!$E$5:$E$24,MATCH(C255,'Staff Master'!$A$5:$A$24,0)),"")</f>
        <v>Receptionist</v>
      </c>
      <c r="G255" s="10" t="s">
        <v>97</v>
      </c>
      <c r="H255" s="17" t="n">
        <f aca="false">IFERROR(INDEX('Shift Master'!$C$5:$C$16,MATCH(G255,'Shift Master'!$A$5:$A$16,0)),"")</f>
        <v>0</v>
      </c>
      <c r="I255" s="17" t="n">
        <f aca="false">IFERROR(INDEX('Shift Master'!$D$5:$D$16,MATCH(G255,'Shift Master'!$A$5:$A$16,0)),"")</f>
        <v>0</v>
      </c>
      <c r="J255" s="16" t="n">
        <f aca="false">IFERROR(INDEX('Shift Master'!$E$5:$E$16,MATCH(G255,'Shift Master'!$A$5:$A$16,0)),"")</f>
        <v>0</v>
      </c>
      <c r="K255" s="16" t="n">
        <f aca="false">IFERROR(INDEX('Shift Master'!$G$5:$G$16,MATCH(G255,'Shift Master'!$A$5:$A$16,0)),0)</f>
        <v>0</v>
      </c>
      <c r="L255" s="16" t="s">
        <v>228</v>
      </c>
      <c r="M255" s="16" t="s">
        <v>229</v>
      </c>
      <c r="N255" s="16" t="str">
        <f aca="false">IF(COUNTIFS('Staffing Coverage'!$A$5:$A$12,E255,'Staffing Coverage'!$B$5:$B$12,G255)=0,"",IF(COUNTIFS($A$5:$A$10004,A255,$E$5:$E$10004,E255,$G$5:$G$10004,G255)&lt;INDEX('Staffing Coverage'!$C$5:$C$12,MATCH(1,('Staffing Coverage'!$A$5:$A$12=E255)*('Staffing Coverage'!$B$5:$B$12=G255),0)),"SHORT","OK"))</f>
        <v/>
      </c>
    </row>
    <row r="256" customFormat="false" ht="15" hidden="false" customHeight="false" outlineLevel="0" collapsed="false">
      <c r="A256" s="15" t="n">
        <v>46308</v>
      </c>
      <c r="B256" s="16" t="str">
        <f aca="false">TEXT(A256,"ddd")</f>
        <v>Tue</v>
      </c>
      <c r="C256" s="10" t="s">
        <v>184</v>
      </c>
      <c r="D256" s="16" t="str">
        <f aca="false">IFERROR(INDEX('Staff Master'!$B$5:$B$24,MATCH(C256,'Staff Master'!$A$5:$A$24,0)),"")</f>
        <v>Fatima Zahra</v>
      </c>
      <c r="E256" s="16" t="str">
        <f aca="false">IFERROR(INDEX('Staff Master'!$D$5:$D$24,MATCH(C256,'Staff Master'!$A$5:$A$24,0)),"")</f>
        <v>Reception</v>
      </c>
      <c r="F256" s="16" t="str">
        <f aca="false">IFERROR(INDEX('Staff Master'!$E$5:$E$24,MATCH(C256,'Staff Master'!$A$5:$A$24,0)),"")</f>
        <v>Receptionist</v>
      </c>
      <c r="G256" s="10" t="s">
        <v>94</v>
      </c>
      <c r="H256" s="17" t="n">
        <f aca="false">IFERROR(INDEX('Shift Master'!$C$5:$C$16,MATCH(G256,'Shift Master'!$A$5:$A$16,0)),"")</f>
        <v>0.541666666666667</v>
      </c>
      <c r="I256" s="17" t="n">
        <f aca="false">IFERROR(INDEX('Shift Master'!$D$5:$D$16,MATCH(G256,'Shift Master'!$A$5:$A$16,0)),"")</f>
        <v>0.916666666666667</v>
      </c>
      <c r="J256" s="16" t="n">
        <f aca="false">IFERROR(INDEX('Shift Master'!$E$5:$E$16,MATCH(G256,'Shift Master'!$A$5:$A$16,0)),"")</f>
        <v>60</v>
      </c>
      <c r="K256" s="16" t="n">
        <f aca="false">IFERROR(INDEX('Shift Master'!$G$5:$G$16,MATCH(G256,'Shift Master'!$A$5:$A$16,0)),0)</f>
        <v>8</v>
      </c>
      <c r="L256" s="16" t="s">
        <v>228</v>
      </c>
      <c r="M256" s="16" t="s">
        <v>229</v>
      </c>
      <c r="N256" s="16" t="str">
        <f aca="false">IF(COUNTIFS('Staffing Coverage'!$A$5:$A$12,E256,'Staffing Coverage'!$B$5:$B$12,G256)=0,"",IF(COUNTIFS($A$5:$A$10004,A256,$E$5:$E$10004,E256,$G$5:$G$10004,G256)&lt;INDEX('Staffing Coverage'!$C$5:$C$12,MATCH(1,('Staffing Coverage'!$A$5:$A$12=E256)*('Staffing Coverage'!$B$5:$B$12=G256),0)),"SHORT","OK"))</f>
        <v>OK</v>
      </c>
    </row>
    <row r="257" customFormat="false" ht="15" hidden="false" customHeight="false" outlineLevel="0" collapsed="false">
      <c r="A257" s="15" t="n">
        <v>46308</v>
      </c>
      <c r="B257" s="16" t="str">
        <f aca="false">TEXT(A257,"ddd")</f>
        <v>Tue</v>
      </c>
      <c r="C257" s="10" t="s">
        <v>188</v>
      </c>
      <c r="D257" s="16" t="str">
        <f aca="false">IFERROR(INDEX('Staff Master'!$B$5:$B$24,MATCH(C257,'Staff Master'!$A$5:$A$24,0)),"")</f>
        <v>Ana Reyes</v>
      </c>
      <c r="E257" s="16" t="str">
        <f aca="false">IFERROR(INDEX('Staff Master'!$D$5:$D$24,MATCH(C257,'Staff Master'!$A$5:$A$24,0)),"")</f>
        <v>Dental</v>
      </c>
      <c r="F257" s="16" t="str">
        <f aca="false">IFERROR(INDEX('Staff Master'!$E$5:$E$24,MATCH(C257,'Staff Master'!$A$5:$A$24,0)),"")</f>
        <v>Dental Assistant</v>
      </c>
      <c r="G257" s="10" t="s">
        <v>87</v>
      </c>
      <c r="H257" s="17" t="n">
        <f aca="false">IFERROR(INDEX('Shift Master'!$C$5:$C$16,MATCH(G257,'Shift Master'!$A$5:$A$16,0)),"")</f>
        <v>0.333333333333333</v>
      </c>
      <c r="I257" s="17" t="n">
        <f aca="false">IFERROR(INDEX('Shift Master'!$D$5:$D$16,MATCH(G257,'Shift Master'!$A$5:$A$16,0)),"")</f>
        <v>0.708333333333333</v>
      </c>
      <c r="J257" s="16" t="n">
        <f aca="false">IFERROR(INDEX('Shift Master'!$E$5:$E$16,MATCH(G257,'Shift Master'!$A$5:$A$16,0)),"")</f>
        <v>60</v>
      </c>
      <c r="K257" s="16" t="n">
        <f aca="false">IFERROR(INDEX('Shift Master'!$G$5:$G$16,MATCH(G257,'Shift Master'!$A$5:$A$16,0)),0)</f>
        <v>8</v>
      </c>
      <c r="L257" s="16" t="s">
        <v>228</v>
      </c>
      <c r="M257" s="16" t="s">
        <v>229</v>
      </c>
      <c r="N257" s="16" t="str">
        <f aca="false">IF(COUNTIFS('Staffing Coverage'!$A$5:$A$12,E257,'Staffing Coverage'!$B$5:$B$12,G257)=0,"",IF(COUNTIFS($A$5:$A$10004,A257,$E$5:$E$10004,E257,$G$5:$G$10004,G257)&lt;INDEX('Staffing Coverage'!$C$5:$C$12,MATCH(1,('Staffing Coverage'!$A$5:$A$12=E257)*('Staffing Coverage'!$B$5:$B$12=G257),0)),"SHORT","OK"))</f>
        <v>OK</v>
      </c>
    </row>
    <row r="258" customFormat="false" ht="15" hidden="false" customHeight="false" outlineLevel="0" collapsed="false">
      <c r="A258" s="15" t="n">
        <v>46308</v>
      </c>
      <c r="B258" s="16" t="str">
        <f aca="false">TEXT(A258,"ddd")</f>
        <v>Tue</v>
      </c>
      <c r="C258" s="10" t="s">
        <v>192</v>
      </c>
      <c r="D258" s="16" t="str">
        <f aca="false">IFERROR(INDEX('Staff Master'!$B$5:$B$24,MATCH(C258,'Staff Master'!$A$5:$A$24,0)),"")</f>
        <v>Noor Hassan</v>
      </c>
      <c r="E258" s="16" t="str">
        <f aca="false">IFERROR(INDEX('Staff Master'!$D$5:$D$24,MATCH(C258,'Staff Master'!$A$5:$A$24,0)),"")</f>
        <v>Dental</v>
      </c>
      <c r="F258" s="16" t="str">
        <f aca="false">IFERROR(INDEX('Staff Master'!$E$5:$E$24,MATCH(C258,'Staff Master'!$A$5:$A$24,0)),"")</f>
        <v>Dental Assistant</v>
      </c>
      <c r="G258" s="10" t="s">
        <v>90</v>
      </c>
      <c r="H258" s="17" t="n">
        <f aca="false">IFERROR(INDEX('Shift Master'!$C$5:$C$16,MATCH(G258,'Shift Master'!$A$5:$A$16,0)),"")</f>
        <v>0.375</v>
      </c>
      <c r="I258" s="17" t="n">
        <f aca="false">IFERROR(INDEX('Shift Master'!$D$5:$D$16,MATCH(G258,'Shift Master'!$A$5:$A$16,0)),"")</f>
        <v>0.75</v>
      </c>
      <c r="J258" s="16" t="n">
        <f aca="false">IFERROR(INDEX('Shift Master'!$E$5:$E$16,MATCH(G258,'Shift Master'!$A$5:$A$16,0)),"")</f>
        <v>60</v>
      </c>
      <c r="K258" s="16" t="n">
        <f aca="false">IFERROR(INDEX('Shift Master'!$G$5:$G$16,MATCH(G258,'Shift Master'!$A$5:$A$16,0)),0)</f>
        <v>8</v>
      </c>
      <c r="L258" s="16" t="s">
        <v>228</v>
      </c>
      <c r="M258" s="16" t="s">
        <v>229</v>
      </c>
      <c r="N258" s="16" t="str">
        <f aca="false">IF(COUNTIFS('Staffing Coverage'!$A$5:$A$12,E258,'Staffing Coverage'!$B$5:$B$12,G258)=0,"",IF(COUNTIFS($A$5:$A$10004,A258,$E$5:$E$10004,E258,$G$5:$G$10004,G258)&lt;INDEX('Staffing Coverage'!$C$5:$C$12,MATCH(1,('Staffing Coverage'!$A$5:$A$12=E258)*('Staffing Coverage'!$B$5:$B$12=G258),0)),"SHORT","OK"))</f>
        <v/>
      </c>
    </row>
    <row r="259" customFormat="false" ht="15" hidden="false" customHeight="false" outlineLevel="0" collapsed="false">
      <c r="A259" s="15" t="n">
        <v>46308</v>
      </c>
      <c r="B259" s="16" t="str">
        <f aca="false">TEXT(A259,"ddd")</f>
        <v>Tue</v>
      </c>
      <c r="C259" s="10" t="s">
        <v>196</v>
      </c>
      <c r="D259" s="16" t="str">
        <f aca="false">IFERROR(INDEX('Staff Master'!$B$5:$B$24,MATCH(C259,'Staff Master'!$A$5:$A$24,0)),"")</f>
        <v>Karan Mehta</v>
      </c>
      <c r="E259" s="16" t="str">
        <f aca="false">IFERROR(INDEX('Staff Master'!$D$5:$D$24,MATCH(C259,'Staff Master'!$A$5:$A$24,0)),"")</f>
        <v>Laser</v>
      </c>
      <c r="F259" s="16" t="str">
        <f aca="false">IFERROR(INDEX('Staff Master'!$E$5:$E$24,MATCH(C259,'Staff Master'!$A$5:$A$24,0)),"")</f>
        <v>Laser Technician</v>
      </c>
      <c r="G259" s="10" t="s">
        <v>90</v>
      </c>
      <c r="H259" s="17" t="n">
        <f aca="false">IFERROR(INDEX('Shift Master'!$C$5:$C$16,MATCH(G259,'Shift Master'!$A$5:$A$16,0)),"")</f>
        <v>0.375</v>
      </c>
      <c r="I259" s="17" t="n">
        <f aca="false">IFERROR(INDEX('Shift Master'!$D$5:$D$16,MATCH(G259,'Shift Master'!$A$5:$A$16,0)),"")</f>
        <v>0.75</v>
      </c>
      <c r="J259" s="16" t="n">
        <f aca="false">IFERROR(INDEX('Shift Master'!$E$5:$E$16,MATCH(G259,'Shift Master'!$A$5:$A$16,0)),"")</f>
        <v>60</v>
      </c>
      <c r="K259" s="16" t="n">
        <f aca="false">IFERROR(INDEX('Shift Master'!$G$5:$G$16,MATCH(G259,'Shift Master'!$A$5:$A$16,0)),0)</f>
        <v>8</v>
      </c>
      <c r="L259" s="16" t="s">
        <v>228</v>
      </c>
      <c r="M259" s="16" t="s">
        <v>229</v>
      </c>
      <c r="N259" s="16" t="str">
        <f aca="false">IF(COUNTIFS('Staffing Coverage'!$A$5:$A$12,E259,'Staffing Coverage'!$B$5:$B$12,G259)=0,"",IF(COUNTIFS($A$5:$A$10004,A259,$E$5:$E$10004,E259,$G$5:$G$10004,G259)&lt;INDEX('Staffing Coverage'!$C$5:$C$12,MATCH(1,('Staffing Coverage'!$A$5:$A$12=E259)*('Staffing Coverage'!$B$5:$B$12=G259),0)),"SHORT","OK"))</f>
        <v/>
      </c>
    </row>
    <row r="260" customFormat="false" ht="15" hidden="false" customHeight="false" outlineLevel="0" collapsed="false">
      <c r="A260" s="15" t="n">
        <v>46308</v>
      </c>
      <c r="B260" s="16" t="str">
        <f aca="false">TEXT(A260,"ddd")</f>
        <v>Tue</v>
      </c>
      <c r="C260" s="10" t="s">
        <v>200</v>
      </c>
      <c r="D260" s="16" t="str">
        <f aca="false">IFERROR(INDEX('Staff Master'!$B$5:$B$24,MATCH(C260,'Staff Master'!$A$5:$A$24,0)),"")</f>
        <v>Imran Sheikh</v>
      </c>
      <c r="E260" s="16" t="str">
        <f aca="false">IFERROR(INDEX('Staff Master'!$D$5:$D$24,MATCH(C260,'Staff Master'!$A$5:$A$24,0)),"")</f>
        <v>Dental Laboratory</v>
      </c>
      <c r="F260" s="16" t="str">
        <f aca="false">IFERROR(INDEX('Staff Master'!$E$5:$E$24,MATCH(C260,'Staff Master'!$A$5:$A$24,0)),"")</f>
        <v>Dental Technician</v>
      </c>
      <c r="G260" s="10" t="s">
        <v>87</v>
      </c>
      <c r="H260" s="17" t="n">
        <f aca="false">IFERROR(INDEX('Shift Master'!$C$5:$C$16,MATCH(G260,'Shift Master'!$A$5:$A$16,0)),"")</f>
        <v>0.333333333333333</v>
      </c>
      <c r="I260" s="17" t="n">
        <f aca="false">IFERROR(INDEX('Shift Master'!$D$5:$D$16,MATCH(G260,'Shift Master'!$A$5:$A$16,0)),"")</f>
        <v>0.708333333333333</v>
      </c>
      <c r="J260" s="16" t="n">
        <f aca="false">IFERROR(INDEX('Shift Master'!$E$5:$E$16,MATCH(G260,'Shift Master'!$A$5:$A$16,0)),"")</f>
        <v>60</v>
      </c>
      <c r="K260" s="16" t="n">
        <f aca="false">IFERROR(INDEX('Shift Master'!$G$5:$G$16,MATCH(G260,'Shift Master'!$A$5:$A$16,0)),0)</f>
        <v>8</v>
      </c>
      <c r="L260" s="16" t="s">
        <v>228</v>
      </c>
      <c r="M260" s="16" t="s">
        <v>229</v>
      </c>
      <c r="N260" s="16" t="str">
        <f aca="false">IF(COUNTIFS('Staffing Coverage'!$A$5:$A$12,E260,'Staffing Coverage'!$B$5:$B$12,G260)=0,"",IF(COUNTIFS($A$5:$A$10004,A260,$E$5:$E$10004,E260,$G$5:$G$10004,G260)&lt;INDEX('Staffing Coverage'!$C$5:$C$12,MATCH(1,('Staffing Coverage'!$A$5:$A$12=E260)*('Staffing Coverage'!$B$5:$B$12=G260),0)),"SHORT","OK"))</f>
        <v/>
      </c>
    </row>
    <row r="261" customFormat="false" ht="15" hidden="false" customHeight="false" outlineLevel="0" collapsed="false">
      <c r="A261" s="15" t="n">
        <v>46308</v>
      </c>
      <c r="B261" s="16" t="str">
        <f aca="false">TEXT(A261,"ddd")</f>
        <v>Tue</v>
      </c>
      <c r="C261" s="10" t="s">
        <v>204</v>
      </c>
      <c r="D261" s="16" t="str">
        <f aca="false">IFERROR(INDEX('Staff Master'!$B$5:$B$24,MATCH(C261,'Staff Master'!$A$5:$A$24,0)),"")</f>
        <v>Josephine Cruz</v>
      </c>
      <c r="E261" s="16" t="str">
        <f aca="false">IFERROR(INDEX('Staff Master'!$D$5:$D$24,MATCH(C261,'Staff Master'!$A$5:$A$24,0)),"")</f>
        <v>CSSD</v>
      </c>
      <c r="F261" s="16" t="str">
        <f aca="false">IFERROR(INDEX('Staff Master'!$E$5:$E$24,MATCH(C261,'Staff Master'!$A$5:$A$24,0)),"")</f>
        <v>CSSD Technician</v>
      </c>
      <c r="G261" s="10" t="s">
        <v>87</v>
      </c>
      <c r="H261" s="17" t="n">
        <f aca="false">IFERROR(INDEX('Shift Master'!$C$5:$C$16,MATCH(G261,'Shift Master'!$A$5:$A$16,0)),"")</f>
        <v>0.333333333333333</v>
      </c>
      <c r="I261" s="17" t="n">
        <f aca="false">IFERROR(INDEX('Shift Master'!$D$5:$D$16,MATCH(G261,'Shift Master'!$A$5:$A$16,0)),"")</f>
        <v>0.708333333333333</v>
      </c>
      <c r="J261" s="16" t="n">
        <f aca="false">IFERROR(INDEX('Shift Master'!$E$5:$E$16,MATCH(G261,'Shift Master'!$A$5:$A$16,0)),"")</f>
        <v>60</v>
      </c>
      <c r="K261" s="16" t="n">
        <f aca="false">IFERROR(INDEX('Shift Master'!$G$5:$G$16,MATCH(G261,'Shift Master'!$A$5:$A$16,0)),0)</f>
        <v>8</v>
      </c>
      <c r="L261" s="16" t="s">
        <v>228</v>
      </c>
      <c r="M261" s="16" t="s">
        <v>229</v>
      </c>
      <c r="N261" s="16" t="str">
        <f aca="false">IF(COUNTIFS('Staffing Coverage'!$A$5:$A$12,E261,'Staffing Coverage'!$B$5:$B$12,G261)=0,"",IF(COUNTIFS($A$5:$A$10004,A261,$E$5:$E$10004,E261,$G$5:$G$10004,G261)&lt;INDEX('Staffing Coverage'!$C$5:$C$12,MATCH(1,('Staffing Coverage'!$A$5:$A$12=E261)*('Staffing Coverage'!$B$5:$B$12=G261),0)),"SHORT","OK"))</f>
        <v>OK</v>
      </c>
    </row>
    <row r="262" customFormat="false" ht="15" hidden="false" customHeight="false" outlineLevel="0" collapsed="false">
      <c r="A262" s="15" t="n">
        <v>46308</v>
      </c>
      <c r="B262" s="16" t="str">
        <f aca="false">TEXT(A262,"ddd")</f>
        <v>Tue</v>
      </c>
      <c r="C262" s="10" t="s">
        <v>208</v>
      </c>
      <c r="D262" s="16" t="str">
        <f aca="false">IFERROR(INDEX('Staff Master'!$B$5:$B$24,MATCH(C262,'Staff Master'!$A$5:$A$24,0)),"")</f>
        <v>Rosalyn Tan</v>
      </c>
      <c r="E262" s="16" t="str">
        <f aca="false">IFERROR(INDEX('Staff Master'!$D$5:$D$24,MATCH(C262,'Staff Master'!$A$5:$A$24,0)),"")</f>
        <v>Cleaning</v>
      </c>
      <c r="F262" s="16" t="str">
        <f aca="false">IFERROR(INDEX('Staff Master'!$E$5:$E$24,MATCH(C262,'Staff Master'!$A$5:$A$24,0)),"")</f>
        <v>Cleaner</v>
      </c>
      <c r="G262" s="10" t="s">
        <v>87</v>
      </c>
      <c r="H262" s="17" t="n">
        <f aca="false">IFERROR(INDEX('Shift Master'!$C$5:$C$16,MATCH(G262,'Shift Master'!$A$5:$A$16,0)),"")</f>
        <v>0.333333333333333</v>
      </c>
      <c r="I262" s="17" t="n">
        <f aca="false">IFERROR(INDEX('Shift Master'!$D$5:$D$16,MATCH(G262,'Shift Master'!$A$5:$A$16,0)),"")</f>
        <v>0.708333333333333</v>
      </c>
      <c r="J262" s="16" t="n">
        <f aca="false">IFERROR(INDEX('Shift Master'!$E$5:$E$16,MATCH(G262,'Shift Master'!$A$5:$A$16,0)),"")</f>
        <v>60</v>
      </c>
      <c r="K262" s="16" t="n">
        <f aca="false">IFERROR(INDEX('Shift Master'!$G$5:$G$16,MATCH(G262,'Shift Master'!$A$5:$A$16,0)),0)</f>
        <v>8</v>
      </c>
      <c r="L262" s="16" t="s">
        <v>228</v>
      </c>
      <c r="M262" s="16" t="s">
        <v>229</v>
      </c>
      <c r="N262" s="16" t="str">
        <f aca="false">IF(COUNTIFS('Staffing Coverage'!$A$5:$A$12,E262,'Staffing Coverage'!$B$5:$B$12,G262)=0,"",IF(COUNTIFS($A$5:$A$10004,A262,$E$5:$E$10004,E262,$G$5:$G$10004,G262)&lt;INDEX('Staffing Coverage'!$C$5:$C$12,MATCH(1,('Staffing Coverage'!$A$5:$A$12=E262)*('Staffing Coverage'!$B$5:$B$12=G262),0)),"SHORT","OK"))</f>
        <v>OK</v>
      </c>
    </row>
    <row r="263" customFormat="false" ht="15" hidden="false" customHeight="false" outlineLevel="0" collapsed="false">
      <c r="A263" s="15" t="n">
        <v>46308</v>
      </c>
      <c r="B263" s="16" t="str">
        <f aca="false">TEXT(A263,"ddd")</f>
        <v>Tue</v>
      </c>
      <c r="C263" s="10" t="s">
        <v>212</v>
      </c>
      <c r="D263" s="16" t="str">
        <f aca="false">IFERROR(INDEX('Staff Master'!$B$5:$B$24,MATCH(C263,'Staff Master'!$A$5:$A$24,0)),"")</f>
        <v>Hassan Baig</v>
      </c>
      <c r="E263" s="16" t="str">
        <f aca="false">IFERROR(INDEX('Staff Master'!$D$5:$D$24,MATCH(C263,'Staff Master'!$A$5:$A$24,0)),"")</f>
        <v>Facilities</v>
      </c>
      <c r="F263" s="16" t="str">
        <f aca="false">IFERROR(INDEX('Staff Master'!$E$5:$E$24,MATCH(C263,'Staff Master'!$A$5:$A$24,0)),"")</f>
        <v>Facility Manager</v>
      </c>
      <c r="G263" s="10" t="s">
        <v>90</v>
      </c>
      <c r="H263" s="17" t="n">
        <f aca="false">IFERROR(INDEX('Shift Master'!$C$5:$C$16,MATCH(G263,'Shift Master'!$A$5:$A$16,0)),"")</f>
        <v>0.375</v>
      </c>
      <c r="I263" s="17" t="n">
        <f aca="false">IFERROR(INDEX('Shift Master'!$D$5:$D$16,MATCH(G263,'Shift Master'!$A$5:$A$16,0)),"")</f>
        <v>0.75</v>
      </c>
      <c r="J263" s="16" t="n">
        <f aca="false">IFERROR(INDEX('Shift Master'!$E$5:$E$16,MATCH(G263,'Shift Master'!$A$5:$A$16,0)),"")</f>
        <v>60</v>
      </c>
      <c r="K263" s="16" t="n">
        <f aca="false">IFERROR(INDEX('Shift Master'!$G$5:$G$16,MATCH(G263,'Shift Master'!$A$5:$A$16,0)),0)</f>
        <v>8</v>
      </c>
      <c r="L263" s="16" t="s">
        <v>228</v>
      </c>
      <c r="M263" s="16" t="s">
        <v>229</v>
      </c>
      <c r="N263" s="16" t="str">
        <f aca="false">IF(COUNTIFS('Staffing Coverage'!$A$5:$A$12,E263,'Staffing Coverage'!$B$5:$B$12,G263)=0,"",IF(COUNTIFS($A$5:$A$10004,A263,$E$5:$E$10004,E263,$G$5:$G$10004,G263)&lt;INDEX('Staffing Coverage'!$C$5:$C$12,MATCH(1,('Staffing Coverage'!$A$5:$A$12=E263)*('Staffing Coverage'!$B$5:$B$12=G263),0)),"SHORT","OK"))</f>
        <v/>
      </c>
    </row>
    <row r="264" customFormat="false" ht="15" hidden="false" customHeight="false" outlineLevel="0" collapsed="false">
      <c r="A264" s="15" t="n">
        <v>46308</v>
      </c>
      <c r="B264" s="16" t="str">
        <f aca="false">TEXT(A264,"ddd")</f>
        <v>Tue</v>
      </c>
      <c r="C264" s="10" t="s">
        <v>178</v>
      </c>
      <c r="D264" s="16" t="str">
        <f aca="false">IFERROR(INDEX('Staff Master'!$B$5:$B$24,MATCH(C264,'Staff Master'!$A$5:$A$24,0)),"")</f>
        <v>Meera Pillai</v>
      </c>
      <c r="E264" s="16" t="str">
        <f aca="false">IFERROR(INDEX('Staff Master'!$D$5:$D$24,MATCH(C264,'Staff Master'!$A$5:$A$24,0)),"")</f>
        <v>HR</v>
      </c>
      <c r="F264" s="16" t="str">
        <f aca="false">IFERROR(INDEX('Staff Master'!$E$5:$E$24,MATCH(C264,'Staff Master'!$A$5:$A$24,0)),"")</f>
        <v>HR Executive</v>
      </c>
      <c r="G264" s="10" t="s">
        <v>90</v>
      </c>
      <c r="H264" s="17" t="n">
        <f aca="false">IFERROR(INDEX('Shift Master'!$C$5:$C$16,MATCH(G264,'Shift Master'!$A$5:$A$16,0)),"")</f>
        <v>0.375</v>
      </c>
      <c r="I264" s="17" t="n">
        <f aca="false">IFERROR(INDEX('Shift Master'!$D$5:$D$16,MATCH(G264,'Shift Master'!$A$5:$A$16,0)),"")</f>
        <v>0.75</v>
      </c>
      <c r="J264" s="16" t="n">
        <f aca="false">IFERROR(INDEX('Shift Master'!$E$5:$E$16,MATCH(G264,'Shift Master'!$A$5:$A$16,0)),"")</f>
        <v>60</v>
      </c>
      <c r="K264" s="16" t="n">
        <f aca="false">IFERROR(INDEX('Shift Master'!$G$5:$G$16,MATCH(G264,'Shift Master'!$A$5:$A$16,0)),0)</f>
        <v>8</v>
      </c>
      <c r="L264" s="16" t="s">
        <v>228</v>
      </c>
      <c r="M264" s="16" t="s">
        <v>229</v>
      </c>
      <c r="N264" s="16" t="str">
        <f aca="false">IF(COUNTIFS('Staffing Coverage'!$A$5:$A$12,E264,'Staffing Coverage'!$B$5:$B$12,G264)=0,"",IF(COUNTIFS($A$5:$A$10004,A264,$E$5:$E$10004,E264,$G$5:$G$10004,G264)&lt;INDEX('Staffing Coverage'!$C$5:$C$12,MATCH(1,('Staffing Coverage'!$A$5:$A$12=E264)*('Staffing Coverage'!$B$5:$B$12=G264),0)),"SHORT","OK"))</f>
        <v/>
      </c>
    </row>
    <row r="265" customFormat="false" ht="15" hidden="false" customHeight="false" outlineLevel="0" collapsed="false">
      <c r="A265" s="15" t="n">
        <v>46309</v>
      </c>
      <c r="B265" s="16" t="str">
        <f aca="false">TEXT(A265,"ddd")</f>
        <v>Wed</v>
      </c>
      <c r="C265" s="10" t="s">
        <v>128</v>
      </c>
      <c r="D265" s="16" t="str">
        <f aca="false">IFERROR(INDEX('Staff Master'!$B$5:$B$24,MATCH(C265,'Staff Master'!$A$5:$A$24,0)),"")</f>
        <v>Rashid Al Nuaimi</v>
      </c>
      <c r="E265" s="16" t="str">
        <f aca="false">IFERROR(INDEX('Staff Master'!$D$5:$D$24,MATCH(C265,'Staff Master'!$A$5:$A$24,0)),"")</f>
        <v>Management</v>
      </c>
      <c r="F265" s="16" t="str">
        <f aca="false">IFERROR(INDEX('Staff Master'!$E$5:$E$24,MATCH(C265,'Staff Master'!$A$5:$A$24,0)),"")</f>
        <v>CEO</v>
      </c>
      <c r="G265" s="10" t="s">
        <v>90</v>
      </c>
      <c r="H265" s="17" t="n">
        <f aca="false">IFERROR(INDEX('Shift Master'!$C$5:$C$16,MATCH(G265,'Shift Master'!$A$5:$A$16,0)),"")</f>
        <v>0.375</v>
      </c>
      <c r="I265" s="17" t="n">
        <f aca="false">IFERROR(INDEX('Shift Master'!$D$5:$D$16,MATCH(G265,'Shift Master'!$A$5:$A$16,0)),"")</f>
        <v>0.75</v>
      </c>
      <c r="J265" s="16" t="n">
        <f aca="false">IFERROR(INDEX('Shift Master'!$E$5:$E$16,MATCH(G265,'Shift Master'!$A$5:$A$16,0)),"")</f>
        <v>60</v>
      </c>
      <c r="K265" s="16" t="n">
        <f aca="false">IFERROR(INDEX('Shift Master'!$G$5:$G$16,MATCH(G265,'Shift Master'!$A$5:$A$16,0)),0)</f>
        <v>8</v>
      </c>
      <c r="L265" s="16" t="s">
        <v>228</v>
      </c>
      <c r="M265" s="16" t="s">
        <v>229</v>
      </c>
      <c r="N265" s="16" t="str">
        <f aca="false">IF(COUNTIFS('Staffing Coverage'!$A$5:$A$12,E265,'Staffing Coverage'!$B$5:$B$12,G265)=0,"",IF(COUNTIFS($A$5:$A$10004,A265,$E$5:$E$10004,E265,$G$5:$G$10004,G265)&lt;INDEX('Staffing Coverage'!$C$5:$C$12,MATCH(1,('Staffing Coverage'!$A$5:$A$12=E265)*('Staffing Coverage'!$B$5:$B$12=G265),0)),"SHORT","OK"))</f>
        <v/>
      </c>
    </row>
    <row r="266" customFormat="false" ht="15" hidden="false" customHeight="false" outlineLevel="0" collapsed="false">
      <c r="A266" s="15" t="n">
        <v>46309</v>
      </c>
      <c r="B266" s="16" t="str">
        <f aca="false">TEXT(A266,"ddd")</f>
        <v>Wed</v>
      </c>
      <c r="C266" s="10" t="s">
        <v>137</v>
      </c>
      <c r="D266" s="16" t="str">
        <f aca="false">IFERROR(INDEX('Staff Master'!$B$5:$B$24,MATCH(C266,'Staff Master'!$A$5:$A$24,0)),"")</f>
        <v>Dr. Sara Haddad</v>
      </c>
      <c r="E266" s="16" t="str">
        <f aca="false">IFERROR(INDEX('Staff Master'!$D$5:$D$24,MATCH(C266,'Staff Master'!$A$5:$A$24,0)),"")</f>
        <v>General Practice</v>
      </c>
      <c r="F266" s="16" t="str">
        <f aca="false">IFERROR(INDEX('Staff Master'!$E$5:$E$24,MATCH(C266,'Staff Master'!$A$5:$A$24,0)),"")</f>
        <v>Medical Director</v>
      </c>
      <c r="G266" s="10" t="s">
        <v>96</v>
      </c>
      <c r="H266" s="17" t="n">
        <f aca="false">IFERROR(INDEX('Shift Master'!$C$5:$C$16,MATCH(G266,'Shift Master'!$A$5:$A$16,0)),"")</f>
        <v>0.375</v>
      </c>
      <c r="I266" s="17" t="n">
        <f aca="false">IFERROR(INDEX('Shift Master'!$D$5:$D$16,MATCH(G266,'Shift Master'!$A$5:$A$16,0)),"")</f>
        <v>0.708333333333333</v>
      </c>
      <c r="J266" s="16" t="n">
        <f aca="false">IFERROR(INDEX('Shift Master'!$E$5:$E$16,MATCH(G266,'Shift Master'!$A$5:$A$16,0)),"")</f>
        <v>60</v>
      </c>
      <c r="K266" s="16" t="n">
        <f aca="false">IFERROR(INDEX('Shift Master'!$G$5:$G$16,MATCH(G266,'Shift Master'!$A$5:$A$16,0)),0)</f>
        <v>7</v>
      </c>
      <c r="L266" s="16" t="s">
        <v>228</v>
      </c>
      <c r="M266" s="16" t="s">
        <v>229</v>
      </c>
      <c r="N266" s="16" t="str">
        <f aca="false">IF(COUNTIFS('Staffing Coverage'!$A$5:$A$12,E266,'Staffing Coverage'!$B$5:$B$12,G266)=0,"",IF(COUNTIFS($A$5:$A$10004,A266,$E$5:$E$10004,E266,$G$5:$G$10004,G266)&lt;INDEX('Staffing Coverage'!$C$5:$C$12,MATCH(1,('Staffing Coverage'!$A$5:$A$12=E266)*('Staffing Coverage'!$B$5:$B$12=G266),0)),"SHORT","OK"))</f>
        <v/>
      </c>
    </row>
    <row r="267" customFormat="false" ht="15" hidden="false" customHeight="false" outlineLevel="0" collapsed="false">
      <c r="A267" s="15" t="n">
        <v>46309</v>
      </c>
      <c r="B267" s="16" t="str">
        <f aca="false">TEXT(A267,"ddd")</f>
        <v>Wed</v>
      </c>
      <c r="C267" s="10" t="s">
        <v>142</v>
      </c>
      <c r="D267" s="16" t="str">
        <f aca="false">IFERROR(INDEX('Staff Master'!$B$5:$B$24,MATCH(C267,'Staff Master'!$A$5:$A$24,0)),"")</f>
        <v>Dr. Omar Khalil</v>
      </c>
      <c r="E267" s="16" t="str">
        <f aca="false">IFERROR(INDEX('Staff Master'!$D$5:$D$24,MATCH(C267,'Staff Master'!$A$5:$A$24,0)),"")</f>
        <v>General Practice</v>
      </c>
      <c r="F267" s="16" t="str">
        <f aca="false">IFERROR(INDEX('Staff Master'!$E$5:$E$24,MATCH(C267,'Staff Master'!$A$5:$A$24,0)),"")</f>
        <v>Doctor</v>
      </c>
      <c r="G267" s="10" t="s">
        <v>96</v>
      </c>
      <c r="H267" s="17" t="n">
        <f aca="false">IFERROR(INDEX('Shift Master'!$C$5:$C$16,MATCH(G267,'Shift Master'!$A$5:$A$16,0)),"")</f>
        <v>0.375</v>
      </c>
      <c r="I267" s="17" t="n">
        <f aca="false">IFERROR(INDEX('Shift Master'!$D$5:$D$16,MATCH(G267,'Shift Master'!$A$5:$A$16,0)),"")</f>
        <v>0.708333333333333</v>
      </c>
      <c r="J267" s="16" t="n">
        <f aca="false">IFERROR(INDEX('Shift Master'!$E$5:$E$16,MATCH(G267,'Shift Master'!$A$5:$A$16,0)),"")</f>
        <v>60</v>
      </c>
      <c r="K267" s="16" t="n">
        <f aca="false">IFERROR(INDEX('Shift Master'!$G$5:$G$16,MATCH(G267,'Shift Master'!$A$5:$A$16,0)),0)</f>
        <v>7</v>
      </c>
      <c r="L267" s="16" t="s">
        <v>228</v>
      </c>
      <c r="M267" s="16" t="s">
        <v>229</v>
      </c>
      <c r="N267" s="16" t="str">
        <f aca="false">IF(COUNTIFS('Staffing Coverage'!$A$5:$A$12,E267,'Staffing Coverage'!$B$5:$B$12,G267)=0,"",IF(COUNTIFS($A$5:$A$10004,A267,$E$5:$E$10004,E267,$G$5:$G$10004,G267)&lt;INDEX('Staffing Coverage'!$C$5:$C$12,MATCH(1,('Staffing Coverage'!$A$5:$A$12=E267)*('Staffing Coverage'!$B$5:$B$12=G267),0)),"SHORT","OK"))</f>
        <v/>
      </c>
    </row>
    <row r="268" customFormat="false" ht="15" hidden="false" customHeight="false" outlineLevel="0" collapsed="false">
      <c r="A268" s="15" t="n">
        <v>46309</v>
      </c>
      <c r="B268" s="16" t="str">
        <f aca="false">TEXT(A268,"ddd")</f>
        <v>Wed</v>
      </c>
      <c r="C268" s="10" t="s">
        <v>146</v>
      </c>
      <c r="D268" s="16" t="str">
        <f aca="false">IFERROR(INDEX('Staff Master'!$B$5:$B$24,MATCH(C268,'Staff Master'!$A$5:$A$24,0)),"")</f>
        <v>Dr. Lina Abboud</v>
      </c>
      <c r="E268" s="16" t="str">
        <f aca="false">IFERROR(INDEX('Staff Master'!$D$5:$D$24,MATCH(C268,'Staff Master'!$A$5:$A$24,0)),"")</f>
        <v>Dental</v>
      </c>
      <c r="F268" s="16" t="str">
        <f aca="false">IFERROR(INDEX('Staff Master'!$E$5:$E$24,MATCH(C268,'Staff Master'!$A$5:$A$24,0)),"")</f>
        <v>Dentist</v>
      </c>
      <c r="G268" s="10" t="s">
        <v>96</v>
      </c>
      <c r="H268" s="17" t="n">
        <f aca="false">IFERROR(INDEX('Shift Master'!$C$5:$C$16,MATCH(G268,'Shift Master'!$A$5:$A$16,0)),"")</f>
        <v>0.375</v>
      </c>
      <c r="I268" s="17" t="n">
        <f aca="false">IFERROR(INDEX('Shift Master'!$D$5:$D$16,MATCH(G268,'Shift Master'!$A$5:$A$16,0)),"")</f>
        <v>0.708333333333333</v>
      </c>
      <c r="J268" s="16" t="n">
        <f aca="false">IFERROR(INDEX('Shift Master'!$E$5:$E$16,MATCH(G268,'Shift Master'!$A$5:$A$16,0)),"")</f>
        <v>60</v>
      </c>
      <c r="K268" s="16" t="n">
        <f aca="false">IFERROR(INDEX('Shift Master'!$G$5:$G$16,MATCH(G268,'Shift Master'!$A$5:$A$16,0)),0)</f>
        <v>7</v>
      </c>
      <c r="L268" s="16" t="s">
        <v>228</v>
      </c>
      <c r="M268" s="16" t="s">
        <v>229</v>
      </c>
      <c r="N268" s="16" t="str">
        <f aca="false">IF(COUNTIFS('Staffing Coverage'!$A$5:$A$12,E268,'Staffing Coverage'!$B$5:$B$12,G268)=0,"",IF(COUNTIFS($A$5:$A$10004,A268,$E$5:$E$10004,E268,$G$5:$G$10004,G268)&lt;INDEX('Staffing Coverage'!$C$5:$C$12,MATCH(1,('Staffing Coverage'!$A$5:$A$12=E268)*('Staffing Coverage'!$B$5:$B$12=G268),0)),"SHORT","OK"))</f>
        <v/>
      </c>
    </row>
    <row r="269" customFormat="false" ht="15" hidden="false" customHeight="false" outlineLevel="0" collapsed="false">
      <c r="A269" s="15" t="n">
        <v>46309</v>
      </c>
      <c r="B269" s="16" t="str">
        <f aca="false">TEXT(A269,"ddd")</f>
        <v>Wed</v>
      </c>
      <c r="C269" s="10" t="s">
        <v>150</v>
      </c>
      <c r="D269" s="16" t="str">
        <f aca="false">IFERROR(INDEX('Staff Master'!$B$5:$B$24,MATCH(C269,'Staff Master'!$A$5:$A$24,0)),"")</f>
        <v>Dr. Farah Idris</v>
      </c>
      <c r="E269" s="16" t="str">
        <f aca="false">IFERROR(INDEX('Staff Master'!$D$5:$D$24,MATCH(C269,'Staff Master'!$A$5:$A$24,0)),"")</f>
        <v>Dental</v>
      </c>
      <c r="F269" s="16" t="str">
        <f aca="false">IFERROR(INDEX('Staff Master'!$E$5:$E$24,MATCH(C269,'Staff Master'!$A$5:$A$24,0)),"")</f>
        <v>Dentist</v>
      </c>
      <c r="G269" s="10" t="s">
        <v>96</v>
      </c>
      <c r="H269" s="17" t="n">
        <f aca="false">IFERROR(INDEX('Shift Master'!$C$5:$C$16,MATCH(G269,'Shift Master'!$A$5:$A$16,0)),"")</f>
        <v>0.375</v>
      </c>
      <c r="I269" s="17" t="n">
        <f aca="false">IFERROR(INDEX('Shift Master'!$D$5:$D$16,MATCH(G269,'Shift Master'!$A$5:$A$16,0)),"")</f>
        <v>0.708333333333333</v>
      </c>
      <c r="J269" s="16" t="n">
        <f aca="false">IFERROR(INDEX('Shift Master'!$E$5:$E$16,MATCH(G269,'Shift Master'!$A$5:$A$16,0)),"")</f>
        <v>60</v>
      </c>
      <c r="K269" s="16" t="n">
        <f aca="false">IFERROR(INDEX('Shift Master'!$G$5:$G$16,MATCH(G269,'Shift Master'!$A$5:$A$16,0)),0)</f>
        <v>7</v>
      </c>
      <c r="L269" s="16" t="s">
        <v>228</v>
      </c>
      <c r="M269" s="16" t="s">
        <v>229</v>
      </c>
      <c r="N269" s="16" t="str">
        <f aca="false">IF(COUNTIFS('Staffing Coverage'!$A$5:$A$12,E269,'Staffing Coverage'!$B$5:$B$12,G269)=0,"",IF(COUNTIFS($A$5:$A$10004,A269,$E$5:$E$10004,E269,$G$5:$G$10004,G269)&lt;INDEX('Staffing Coverage'!$C$5:$C$12,MATCH(1,('Staffing Coverage'!$A$5:$A$12=E269)*('Staffing Coverage'!$B$5:$B$12=G269),0)),"SHORT","OK"))</f>
        <v/>
      </c>
    </row>
    <row r="270" customFormat="false" ht="15" hidden="false" customHeight="false" outlineLevel="0" collapsed="false">
      <c r="A270" s="15" t="n">
        <v>46309</v>
      </c>
      <c r="B270" s="16" t="str">
        <f aca="false">TEXT(A270,"ddd")</f>
        <v>Wed</v>
      </c>
      <c r="C270" s="10" t="s">
        <v>157</v>
      </c>
      <c r="D270" s="16" t="str">
        <f aca="false">IFERROR(INDEX('Staff Master'!$B$5:$B$24,MATCH(C270,'Staff Master'!$A$5:$A$24,0)),"")</f>
        <v>Dr. Youssef Nassar</v>
      </c>
      <c r="E270" s="16" t="str">
        <f aca="false">IFERROR(INDEX('Staff Master'!$D$5:$D$24,MATCH(C270,'Staff Master'!$A$5:$A$24,0)),"")</f>
        <v>General Practice</v>
      </c>
      <c r="F270" s="16" t="str">
        <f aca="false">IFERROR(INDEX('Staff Master'!$E$5:$E$24,MATCH(C270,'Staff Master'!$A$5:$A$24,0)),"")</f>
        <v>General Practitioner</v>
      </c>
      <c r="G270" s="10" t="s">
        <v>96</v>
      </c>
      <c r="H270" s="17" t="n">
        <f aca="false">IFERROR(INDEX('Shift Master'!$C$5:$C$16,MATCH(G270,'Shift Master'!$A$5:$A$16,0)),"")</f>
        <v>0.375</v>
      </c>
      <c r="I270" s="17" t="n">
        <f aca="false">IFERROR(INDEX('Shift Master'!$D$5:$D$16,MATCH(G270,'Shift Master'!$A$5:$A$16,0)),"")</f>
        <v>0.708333333333333</v>
      </c>
      <c r="J270" s="16" t="n">
        <f aca="false">IFERROR(INDEX('Shift Master'!$E$5:$E$16,MATCH(G270,'Shift Master'!$A$5:$A$16,0)),"")</f>
        <v>60</v>
      </c>
      <c r="K270" s="16" t="n">
        <f aca="false">IFERROR(INDEX('Shift Master'!$G$5:$G$16,MATCH(G270,'Shift Master'!$A$5:$A$16,0)),0)</f>
        <v>7</v>
      </c>
      <c r="L270" s="16" t="s">
        <v>228</v>
      </c>
      <c r="M270" s="16" t="s">
        <v>229</v>
      </c>
      <c r="N270" s="16" t="str">
        <f aca="false">IF(COUNTIFS('Staffing Coverage'!$A$5:$A$12,E270,'Staffing Coverage'!$B$5:$B$12,G270)=0,"",IF(COUNTIFS($A$5:$A$10004,A270,$E$5:$E$10004,E270,$G$5:$G$10004,G270)&lt;INDEX('Staffing Coverage'!$C$5:$C$12,MATCH(1,('Staffing Coverage'!$A$5:$A$12=E270)*('Staffing Coverage'!$B$5:$B$12=G270),0)),"SHORT","OK"))</f>
        <v/>
      </c>
    </row>
    <row r="271" customFormat="false" ht="15" hidden="false" customHeight="false" outlineLevel="0" collapsed="false">
      <c r="A271" s="15" t="n">
        <v>46309</v>
      </c>
      <c r="B271" s="16" t="str">
        <f aca="false">TEXT(A271,"ddd")</f>
        <v>Wed</v>
      </c>
      <c r="C271" s="10" t="s">
        <v>161</v>
      </c>
      <c r="D271" s="16" t="str">
        <f aca="false">IFERROR(INDEX('Staff Master'!$B$5:$B$24,MATCH(C271,'Staff Master'!$A$5:$A$24,0)),"")</f>
        <v>Grace Fernandez</v>
      </c>
      <c r="E271" s="16" t="str">
        <f aca="false">IFERROR(INDEX('Staff Master'!$D$5:$D$24,MATCH(C271,'Staff Master'!$A$5:$A$24,0)),"")</f>
        <v>Nursing</v>
      </c>
      <c r="F271" s="16" t="str">
        <f aca="false">IFERROR(INDEX('Staff Master'!$E$5:$E$24,MATCH(C271,'Staff Master'!$A$5:$A$24,0)),"")</f>
        <v>Nurse</v>
      </c>
      <c r="G271" s="10" t="s">
        <v>87</v>
      </c>
      <c r="H271" s="17" t="n">
        <f aca="false">IFERROR(INDEX('Shift Master'!$C$5:$C$16,MATCH(G271,'Shift Master'!$A$5:$A$16,0)),"")</f>
        <v>0.333333333333333</v>
      </c>
      <c r="I271" s="17" t="n">
        <f aca="false">IFERROR(INDEX('Shift Master'!$D$5:$D$16,MATCH(G271,'Shift Master'!$A$5:$A$16,0)),"")</f>
        <v>0.708333333333333</v>
      </c>
      <c r="J271" s="16" t="n">
        <f aca="false">IFERROR(INDEX('Shift Master'!$E$5:$E$16,MATCH(G271,'Shift Master'!$A$5:$A$16,0)),"")</f>
        <v>60</v>
      </c>
      <c r="K271" s="16" t="n">
        <f aca="false">IFERROR(INDEX('Shift Master'!$G$5:$G$16,MATCH(G271,'Shift Master'!$A$5:$A$16,0)),0)</f>
        <v>8</v>
      </c>
      <c r="L271" s="16" t="s">
        <v>228</v>
      </c>
      <c r="M271" s="16" t="s">
        <v>229</v>
      </c>
      <c r="N271" s="16" t="str">
        <f aca="false">IF(COUNTIFS('Staffing Coverage'!$A$5:$A$12,E271,'Staffing Coverage'!$B$5:$B$12,G271)=0,"",IF(COUNTIFS($A$5:$A$10004,A271,$E$5:$E$10004,E271,$G$5:$G$10004,G271)&lt;INDEX('Staffing Coverage'!$C$5:$C$12,MATCH(1,('Staffing Coverage'!$A$5:$A$12=E271)*('Staffing Coverage'!$B$5:$B$12=G271),0)),"SHORT","OK"))</f>
        <v>OK</v>
      </c>
    </row>
    <row r="272" customFormat="false" ht="15" hidden="false" customHeight="false" outlineLevel="0" collapsed="false">
      <c r="A272" s="15" t="n">
        <v>46309</v>
      </c>
      <c r="B272" s="16" t="str">
        <f aca="false">TEXT(A272,"ddd")</f>
        <v>Wed</v>
      </c>
      <c r="C272" s="10" t="s">
        <v>165</v>
      </c>
      <c r="D272" s="16" t="str">
        <f aca="false">IFERROR(INDEX('Staff Master'!$B$5:$B$24,MATCH(C272,'Staff Master'!$A$5:$A$24,0)),"")</f>
        <v>Priya Nair</v>
      </c>
      <c r="E272" s="16" t="str">
        <f aca="false">IFERROR(INDEX('Staff Master'!$D$5:$D$24,MATCH(C272,'Staff Master'!$A$5:$A$24,0)),"")</f>
        <v>Nursing</v>
      </c>
      <c r="F272" s="16" t="str">
        <f aca="false">IFERROR(INDEX('Staff Master'!$E$5:$E$24,MATCH(C272,'Staff Master'!$A$5:$A$24,0)),"")</f>
        <v>Nurse</v>
      </c>
      <c r="G272" s="10" t="s">
        <v>90</v>
      </c>
      <c r="H272" s="17" t="n">
        <f aca="false">IFERROR(INDEX('Shift Master'!$C$5:$C$16,MATCH(G272,'Shift Master'!$A$5:$A$16,0)),"")</f>
        <v>0.375</v>
      </c>
      <c r="I272" s="17" t="n">
        <f aca="false">IFERROR(INDEX('Shift Master'!$D$5:$D$16,MATCH(G272,'Shift Master'!$A$5:$A$16,0)),"")</f>
        <v>0.75</v>
      </c>
      <c r="J272" s="16" t="n">
        <f aca="false">IFERROR(INDEX('Shift Master'!$E$5:$E$16,MATCH(G272,'Shift Master'!$A$5:$A$16,0)),"")</f>
        <v>60</v>
      </c>
      <c r="K272" s="16" t="n">
        <f aca="false">IFERROR(INDEX('Shift Master'!$G$5:$G$16,MATCH(G272,'Shift Master'!$A$5:$A$16,0)),0)</f>
        <v>8</v>
      </c>
      <c r="L272" s="16" t="s">
        <v>228</v>
      </c>
      <c r="M272" s="16" t="s">
        <v>229</v>
      </c>
      <c r="N272" s="16" t="str">
        <f aca="false">IF(COUNTIFS('Staffing Coverage'!$A$5:$A$12,E272,'Staffing Coverage'!$B$5:$B$12,G272)=0,"",IF(COUNTIFS($A$5:$A$10004,A272,$E$5:$E$10004,E272,$G$5:$G$10004,G272)&lt;INDEX('Staffing Coverage'!$C$5:$C$12,MATCH(1,('Staffing Coverage'!$A$5:$A$12=E272)*('Staffing Coverage'!$B$5:$B$12=G272),0)),"SHORT","OK"))</f>
        <v>OK</v>
      </c>
    </row>
    <row r="273" customFormat="false" ht="15" hidden="false" customHeight="false" outlineLevel="0" collapsed="false">
      <c r="A273" s="15" t="n">
        <v>46309</v>
      </c>
      <c r="B273" s="16" t="str">
        <f aca="false">TEXT(A273,"ddd")</f>
        <v>Wed</v>
      </c>
      <c r="C273" s="10" t="s">
        <v>170</v>
      </c>
      <c r="D273" s="16" t="str">
        <f aca="false">IFERROR(INDEX('Staff Master'!$B$5:$B$24,MATCH(C273,'Staff Master'!$A$5:$A$24,0)),"")</f>
        <v>Maria Santos</v>
      </c>
      <c r="E273" s="16" t="str">
        <f aca="false">IFERROR(INDEX('Staff Master'!$D$5:$D$24,MATCH(C273,'Staff Master'!$A$5:$A$24,0)),"")</f>
        <v>Nursing</v>
      </c>
      <c r="F273" s="16" t="str">
        <f aca="false">IFERROR(INDEX('Staff Master'!$E$5:$E$24,MATCH(C273,'Staff Master'!$A$5:$A$24,0)),"")</f>
        <v>Nurse</v>
      </c>
      <c r="G273" s="10" t="s">
        <v>94</v>
      </c>
      <c r="H273" s="17" t="n">
        <f aca="false">IFERROR(INDEX('Shift Master'!$C$5:$C$16,MATCH(G273,'Shift Master'!$A$5:$A$16,0)),"")</f>
        <v>0.541666666666667</v>
      </c>
      <c r="I273" s="17" t="n">
        <f aca="false">IFERROR(INDEX('Shift Master'!$D$5:$D$16,MATCH(G273,'Shift Master'!$A$5:$A$16,0)),"")</f>
        <v>0.916666666666667</v>
      </c>
      <c r="J273" s="16" t="n">
        <f aca="false">IFERROR(INDEX('Shift Master'!$E$5:$E$16,MATCH(G273,'Shift Master'!$A$5:$A$16,0)),"")</f>
        <v>60</v>
      </c>
      <c r="K273" s="16" t="n">
        <f aca="false">IFERROR(INDEX('Shift Master'!$G$5:$G$16,MATCH(G273,'Shift Master'!$A$5:$A$16,0)),0)</f>
        <v>8</v>
      </c>
      <c r="L273" s="16" t="s">
        <v>228</v>
      </c>
      <c r="M273" s="16" t="s">
        <v>229</v>
      </c>
      <c r="N273" s="16" t="str">
        <f aca="false">IF(COUNTIFS('Staffing Coverage'!$A$5:$A$12,E273,'Staffing Coverage'!$B$5:$B$12,G273)=0,"",IF(COUNTIFS($A$5:$A$10004,A273,$E$5:$E$10004,E273,$G$5:$G$10004,G273)&lt;INDEX('Staffing Coverage'!$C$5:$C$12,MATCH(1,('Staffing Coverage'!$A$5:$A$12=E273)*('Staffing Coverage'!$B$5:$B$12=G273),0)),"SHORT","OK"))</f>
        <v/>
      </c>
    </row>
    <row r="274" customFormat="false" ht="15" hidden="false" customHeight="false" outlineLevel="0" collapsed="false">
      <c r="A274" s="15" t="n">
        <v>46309</v>
      </c>
      <c r="B274" s="16" t="str">
        <f aca="false">TEXT(A274,"ddd")</f>
        <v>Wed</v>
      </c>
      <c r="C274" s="10" t="s">
        <v>174</v>
      </c>
      <c r="D274" s="16" t="str">
        <f aca="false">IFERROR(INDEX('Staff Master'!$B$5:$B$24,MATCH(C274,'Staff Master'!$A$5:$A$24,0)),"")</f>
        <v>Aisha Al Shamsi</v>
      </c>
      <c r="E274" s="16" t="str">
        <f aca="false">IFERROR(INDEX('Staff Master'!$D$5:$D$24,MATCH(C274,'Staff Master'!$A$5:$A$24,0)),"")</f>
        <v>Reception</v>
      </c>
      <c r="F274" s="16" t="str">
        <f aca="false">IFERROR(INDEX('Staff Master'!$E$5:$E$24,MATCH(C274,'Staff Master'!$A$5:$A$24,0)),"")</f>
        <v>Receptionist</v>
      </c>
      <c r="G274" s="10" t="s">
        <v>87</v>
      </c>
      <c r="H274" s="17" t="n">
        <f aca="false">IFERROR(INDEX('Shift Master'!$C$5:$C$16,MATCH(G274,'Shift Master'!$A$5:$A$16,0)),"")</f>
        <v>0.333333333333333</v>
      </c>
      <c r="I274" s="17" t="n">
        <f aca="false">IFERROR(INDEX('Shift Master'!$D$5:$D$16,MATCH(G274,'Shift Master'!$A$5:$A$16,0)),"")</f>
        <v>0.708333333333333</v>
      </c>
      <c r="J274" s="16" t="n">
        <f aca="false">IFERROR(INDEX('Shift Master'!$E$5:$E$16,MATCH(G274,'Shift Master'!$A$5:$A$16,0)),"")</f>
        <v>60</v>
      </c>
      <c r="K274" s="16" t="n">
        <f aca="false">IFERROR(INDEX('Shift Master'!$G$5:$G$16,MATCH(G274,'Shift Master'!$A$5:$A$16,0)),0)</f>
        <v>8</v>
      </c>
      <c r="L274" s="16" t="s">
        <v>228</v>
      </c>
      <c r="M274" s="16" t="s">
        <v>229</v>
      </c>
      <c r="N274" s="16" t="str">
        <f aca="false">IF(COUNTIFS('Staffing Coverage'!$A$5:$A$12,E274,'Staffing Coverage'!$B$5:$B$12,G274)=0,"",IF(COUNTIFS($A$5:$A$10004,A274,$E$5:$E$10004,E274,$G$5:$G$10004,G274)&lt;INDEX('Staffing Coverage'!$C$5:$C$12,MATCH(1,('Staffing Coverage'!$A$5:$A$12=E274)*('Staffing Coverage'!$B$5:$B$12=G274),0)),"SHORT","OK"))</f>
        <v>SHORT</v>
      </c>
    </row>
    <row r="275" customFormat="false" ht="15" hidden="false" customHeight="false" outlineLevel="0" collapsed="false">
      <c r="A275" s="15" t="n">
        <v>46309</v>
      </c>
      <c r="B275" s="16" t="str">
        <f aca="false">TEXT(A275,"ddd")</f>
        <v>Wed</v>
      </c>
      <c r="C275" s="10" t="s">
        <v>179</v>
      </c>
      <c r="D275" s="16" t="str">
        <f aca="false">IFERROR(INDEX('Staff Master'!$B$5:$B$24,MATCH(C275,'Staff Master'!$A$5:$A$24,0)),"")</f>
        <v>John Dsouza</v>
      </c>
      <c r="E275" s="16" t="str">
        <f aca="false">IFERROR(INDEX('Staff Master'!$D$5:$D$24,MATCH(C275,'Staff Master'!$A$5:$A$24,0)),"")</f>
        <v>Reception</v>
      </c>
      <c r="F275" s="16" t="str">
        <f aca="false">IFERROR(INDEX('Staff Master'!$E$5:$E$24,MATCH(C275,'Staff Master'!$A$5:$A$24,0)),"")</f>
        <v>Receptionist</v>
      </c>
      <c r="G275" s="10" t="s">
        <v>90</v>
      </c>
      <c r="H275" s="17" t="n">
        <f aca="false">IFERROR(INDEX('Shift Master'!$C$5:$C$16,MATCH(G275,'Shift Master'!$A$5:$A$16,0)),"")</f>
        <v>0.375</v>
      </c>
      <c r="I275" s="17" t="n">
        <f aca="false">IFERROR(INDEX('Shift Master'!$D$5:$D$16,MATCH(G275,'Shift Master'!$A$5:$A$16,0)),"")</f>
        <v>0.75</v>
      </c>
      <c r="J275" s="16" t="n">
        <f aca="false">IFERROR(INDEX('Shift Master'!$E$5:$E$16,MATCH(G275,'Shift Master'!$A$5:$A$16,0)),"")</f>
        <v>60</v>
      </c>
      <c r="K275" s="16" t="n">
        <f aca="false">IFERROR(INDEX('Shift Master'!$G$5:$G$16,MATCH(G275,'Shift Master'!$A$5:$A$16,0)),0)</f>
        <v>8</v>
      </c>
      <c r="L275" s="16" t="s">
        <v>228</v>
      </c>
      <c r="M275" s="16" t="s">
        <v>229</v>
      </c>
      <c r="N275" s="16" t="str">
        <f aca="false">IF(COUNTIFS('Staffing Coverage'!$A$5:$A$12,E275,'Staffing Coverage'!$B$5:$B$12,G275)=0,"",IF(COUNTIFS($A$5:$A$10004,A275,$E$5:$E$10004,E275,$G$5:$G$10004,G275)&lt;INDEX('Staffing Coverage'!$C$5:$C$12,MATCH(1,('Staffing Coverage'!$A$5:$A$12=E275)*('Staffing Coverage'!$B$5:$B$12=G275),0)),"SHORT","OK"))</f>
        <v>SHORT</v>
      </c>
    </row>
    <row r="276" customFormat="false" ht="15" hidden="false" customHeight="false" outlineLevel="0" collapsed="false">
      <c r="A276" s="15" t="n">
        <v>46309</v>
      </c>
      <c r="B276" s="16" t="str">
        <f aca="false">TEXT(A276,"ddd")</f>
        <v>Wed</v>
      </c>
      <c r="C276" s="10" t="s">
        <v>184</v>
      </c>
      <c r="D276" s="16" t="str">
        <f aca="false">IFERROR(INDEX('Staff Master'!$B$5:$B$24,MATCH(C276,'Staff Master'!$A$5:$A$24,0)),"")</f>
        <v>Fatima Zahra</v>
      </c>
      <c r="E276" s="16" t="str">
        <f aca="false">IFERROR(INDEX('Staff Master'!$D$5:$D$24,MATCH(C276,'Staff Master'!$A$5:$A$24,0)),"")</f>
        <v>Reception</v>
      </c>
      <c r="F276" s="16" t="str">
        <f aca="false">IFERROR(INDEX('Staff Master'!$E$5:$E$24,MATCH(C276,'Staff Master'!$A$5:$A$24,0)),"")</f>
        <v>Receptionist</v>
      </c>
      <c r="G276" s="10" t="s">
        <v>102</v>
      </c>
      <c r="H276" s="17" t="n">
        <f aca="false">IFERROR(INDEX('Shift Master'!$C$5:$C$16,MATCH(G276,'Shift Master'!$A$5:$A$16,0)),"")</f>
        <v>0</v>
      </c>
      <c r="I276" s="17" t="n">
        <f aca="false">IFERROR(INDEX('Shift Master'!$D$5:$D$16,MATCH(G276,'Shift Master'!$A$5:$A$16,0)),"")</f>
        <v>0</v>
      </c>
      <c r="J276" s="16" t="n">
        <f aca="false">IFERROR(INDEX('Shift Master'!$E$5:$E$16,MATCH(G276,'Shift Master'!$A$5:$A$16,0)),"")</f>
        <v>0</v>
      </c>
      <c r="K276" s="16" t="n">
        <f aca="false">IFERROR(INDEX('Shift Master'!$G$5:$G$16,MATCH(G276,'Shift Master'!$A$5:$A$16,0)),0)</f>
        <v>0</v>
      </c>
      <c r="L276" s="16" t="s">
        <v>228</v>
      </c>
      <c r="M276" s="16" t="s">
        <v>229</v>
      </c>
      <c r="N276" s="16" t="str">
        <f aca="false">IF(COUNTIFS('Staffing Coverage'!$A$5:$A$12,E276,'Staffing Coverage'!$B$5:$B$12,G276)=0,"",IF(COUNTIFS($A$5:$A$10004,A276,$E$5:$E$10004,E276,$G$5:$G$10004,G276)&lt;INDEX('Staffing Coverage'!$C$5:$C$12,MATCH(1,('Staffing Coverage'!$A$5:$A$12=E276)*('Staffing Coverage'!$B$5:$B$12=G276),0)),"SHORT","OK"))</f>
        <v/>
      </c>
    </row>
    <row r="277" customFormat="false" ht="15" hidden="false" customHeight="false" outlineLevel="0" collapsed="false">
      <c r="A277" s="15" t="n">
        <v>46309</v>
      </c>
      <c r="B277" s="16" t="str">
        <f aca="false">TEXT(A277,"ddd")</f>
        <v>Wed</v>
      </c>
      <c r="C277" s="10" t="s">
        <v>188</v>
      </c>
      <c r="D277" s="16" t="str">
        <f aca="false">IFERROR(INDEX('Staff Master'!$B$5:$B$24,MATCH(C277,'Staff Master'!$A$5:$A$24,0)),"")</f>
        <v>Ana Reyes</v>
      </c>
      <c r="E277" s="16" t="str">
        <f aca="false">IFERROR(INDEX('Staff Master'!$D$5:$D$24,MATCH(C277,'Staff Master'!$A$5:$A$24,0)),"")</f>
        <v>Dental</v>
      </c>
      <c r="F277" s="16" t="str">
        <f aca="false">IFERROR(INDEX('Staff Master'!$E$5:$E$24,MATCH(C277,'Staff Master'!$A$5:$A$24,0)),"")</f>
        <v>Dental Assistant</v>
      </c>
      <c r="G277" s="10" t="s">
        <v>87</v>
      </c>
      <c r="H277" s="17" t="n">
        <f aca="false">IFERROR(INDEX('Shift Master'!$C$5:$C$16,MATCH(G277,'Shift Master'!$A$5:$A$16,0)),"")</f>
        <v>0.333333333333333</v>
      </c>
      <c r="I277" s="17" t="n">
        <f aca="false">IFERROR(INDEX('Shift Master'!$D$5:$D$16,MATCH(G277,'Shift Master'!$A$5:$A$16,0)),"")</f>
        <v>0.708333333333333</v>
      </c>
      <c r="J277" s="16" t="n">
        <f aca="false">IFERROR(INDEX('Shift Master'!$E$5:$E$16,MATCH(G277,'Shift Master'!$A$5:$A$16,0)),"")</f>
        <v>60</v>
      </c>
      <c r="K277" s="16" t="n">
        <f aca="false">IFERROR(INDEX('Shift Master'!$G$5:$G$16,MATCH(G277,'Shift Master'!$A$5:$A$16,0)),0)</f>
        <v>8</v>
      </c>
      <c r="L277" s="16" t="s">
        <v>228</v>
      </c>
      <c r="M277" s="16" t="s">
        <v>229</v>
      </c>
      <c r="N277" s="16" t="str">
        <f aca="false">IF(COUNTIFS('Staffing Coverage'!$A$5:$A$12,E277,'Staffing Coverage'!$B$5:$B$12,G277)=0,"",IF(COUNTIFS($A$5:$A$10004,A277,$E$5:$E$10004,E277,$G$5:$G$10004,G277)&lt;INDEX('Staffing Coverage'!$C$5:$C$12,MATCH(1,('Staffing Coverage'!$A$5:$A$12=E277)*('Staffing Coverage'!$B$5:$B$12=G277),0)),"SHORT","OK"))</f>
        <v>OK</v>
      </c>
    </row>
    <row r="278" customFormat="false" ht="15" hidden="false" customHeight="false" outlineLevel="0" collapsed="false">
      <c r="A278" s="15" t="n">
        <v>46309</v>
      </c>
      <c r="B278" s="16" t="str">
        <f aca="false">TEXT(A278,"ddd")</f>
        <v>Wed</v>
      </c>
      <c r="C278" s="10" t="s">
        <v>192</v>
      </c>
      <c r="D278" s="16" t="str">
        <f aca="false">IFERROR(INDEX('Staff Master'!$B$5:$B$24,MATCH(C278,'Staff Master'!$A$5:$A$24,0)),"")</f>
        <v>Noor Hassan</v>
      </c>
      <c r="E278" s="16" t="str">
        <f aca="false">IFERROR(INDEX('Staff Master'!$D$5:$D$24,MATCH(C278,'Staff Master'!$A$5:$A$24,0)),"")</f>
        <v>Dental</v>
      </c>
      <c r="F278" s="16" t="str">
        <f aca="false">IFERROR(INDEX('Staff Master'!$E$5:$E$24,MATCH(C278,'Staff Master'!$A$5:$A$24,0)),"")</f>
        <v>Dental Assistant</v>
      </c>
      <c r="G278" s="10" t="s">
        <v>90</v>
      </c>
      <c r="H278" s="17" t="n">
        <f aca="false">IFERROR(INDEX('Shift Master'!$C$5:$C$16,MATCH(G278,'Shift Master'!$A$5:$A$16,0)),"")</f>
        <v>0.375</v>
      </c>
      <c r="I278" s="17" t="n">
        <f aca="false">IFERROR(INDEX('Shift Master'!$D$5:$D$16,MATCH(G278,'Shift Master'!$A$5:$A$16,0)),"")</f>
        <v>0.75</v>
      </c>
      <c r="J278" s="16" t="n">
        <f aca="false">IFERROR(INDEX('Shift Master'!$E$5:$E$16,MATCH(G278,'Shift Master'!$A$5:$A$16,0)),"")</f>
        <v>60</v>
      </c>
      <c r="K278" s="16" t="n">
        <f aca="false">IFERROR(INDEX('Shift Master'!$G$5:$G$16,MATCH(G278,'Shift Master'!$A$5:$A$16,0)),0)</f>
        <v>8</v>
      </c>
      <c r="L278" s="16" t="s">
        <v>228</v>
      </c>
      <c r="M278" s="16" t="s">
        <v>229</v>
      </c>
      <c r="N278" s="16" t="str">
        <f aca="false">IF(COUNTIFS('Staffing Coverage'!$A$5:$A$12,E278,'Staffing Coverage'!$B$5:$B$12,G278)=0,"",IF(COUNTIFS($A$5:$A$10004,A278,$E$5:$E$10004,E278,$G$5:$G$10004,G278)&lt;INDEX('Staffing Coverage'!$C$5:$C$12,MATCH(1,('Staffing Coverage'!$A$5:$A$12=E278)*('Staffing Coverage'!$B$5:$B$12=G278),0)),"SHORT","OK"))</f>
        <v/>
      </c>
    </row>
    <row r="279" customFormat="false" ht="15" hidden="false" customHeight="false" outlineLevel="0" collapsed="false">
      <c r="A279" s="15" t="n">
        <v>46309</v>
      </c>
      <c r="B279" s="16" t="str">
        <f aca="false">TEXT(A279,"ddd")</f>
        <v>Wed</v>
      </c>
      <c r="C279" s="10" t="s">
        <v>196</v>
      </c>
      <c r="D279" s="16" t="str">
        <f aca="false">IFERROR(INDEX('Staff Master'!$B$5:$B$24,MATCH(C279,'Staff Master'!$A$5:$A$24,0)),"")</f>
        <v>Karan Mehta</v>
      </c>
      <c r="E279" s="16" t="str">
        <f aca="false">IFERROR(INDEX('Staff Master'!$D$5:$D$24,MATCH(C279,'Staff Master'!$A$5:$A$24,0)),"")</f>
        <v>Laser</v>
      </c>
      <c r="F279" s="16" t="str">
        <f aca="false">IFERROR(INDEX('Staff Master'!$E$5:$E$24,MATCH(C279,'Staff Master'!$A$5:$A$24,0)),"")</f>
        <v>Laser Technician</v>
      </c>
      <c r="G279" s="10" t="s">
        <v>90</v>
      </c>
      <c r="H279" s="17" t="n">
        <f aca="false">IFERROR(INDEX('Shift Master'!$C$5:$C$16,MATCH(G279,'Shift Master'!$A$5:$A$16,0)),"")</f>
        <v>0.375</v>
      </c>
      <c r="I279" s="17" t="n">
        <f aca="false">IFERROR(INDEX('Shift Master'!$D$5:$D$16,MATCH(G279,'Shift Master'!$A$5:$A$16,0)),"")</f>
        <v>0.75</v>
      </c>
      <c r="J279" s="16" t="n">
        <f aca="false">IFERROR(INDEX('Shift Master'!$E$5:$E$16,MATCH(G279,'Shift Master'!$A$5:$A$16,0)),"")</f>
        <v>60</v>
      </c>
      <c r="K279" s="16" t="n">
        <f aca="false">IFERROR(INDEX('Shift Master'!$G$5:$G$16,MATCH(G279,'Shift Master'!$A$5:$A$16,0)),0)</f>
        <v>8</v>
      </c>
      <c r="L279" s="16" t="s">
        <v>228</v>
      </c>
      <c r="M279" s="16" t="s">
        <v>229</v>
      </c>
      <c r="N279" s="16" t="str">
        <f aca="false">IF(COUNTIFS('Staffing Coverage'!$A$5:$A$12,E279,'Staffing Coverage'!$B$5:$B$12,G279)=0,"",IF(COUNTIFS($A$5:$A$10004,A279,$E$5:$E$10004,E279,$G$5:$G$10004,G279)&lt;INDEX('Staffing Coverage'!$C$5:$C$12,MATCH(1,('Staffing Coverage'!$A$5:$A$12=E279)*('Staffing Coverage'!$B$5:$B$12=G279),0)),"SHORT","OK"))</f>
        <v/>
      </c>
    </row>
    <row r="280" customFormat="false" ht="15" hidden="false" customHeight="false" outlineLevel="0" collapsed="false">
      <c r="A280" s="15" t="n">
        <v>46309</v>
      </c>
      <c r="B280" s="16" t="str">
        <f aca="false">TEXT(A280,"ddd")</f>
        <v>Wed</v>
      </c>
      <c r="C280" s="10" t="s">
        <v>200</v>
      </c>
      <c r="D280" s="16" t="str">
        <f aca="false">IFERROR(INDEX('Staff Master'!$B$5:$B$24,MATCH(C280,'Staff Master'!$A$5:$A$24,0)),"")</f>
        <v>Imran Sheikh</v>
      </c>
      <c r="E280" s="16" t="str">
        <f aca="false">IFERROR(INDEX('Staff Master'!$D$5:$D$24,MATCH(C280,'Staff Master'!$A$5:$A$24,0)),"")</f>
        <v>Dental Laboratory</v>
      </c>
      <c r="F280" s="16" t="str">
        <f aca="false">IFERROR(INDEX('Staff Master'!$E$5:$E$24,MATCH(C280,'Staff Master'!$A$5:$A$24,0)),"")</f>
        <v>Dental Technician</v>
      </c>
      <c r="G280" s="10" t="s">
        <v>87</v>
      </c>
      <c r="H280" s="17" t="n">
        <f aca="false">IFERROR(INDEX('Shift Master'!$C$5:$C$16,MATCH(G280,'Shift Master'!$A$5:$A$16,0)),"")</f>
        <v>0.333333333333333</v>
      </c>
      <c r="I280" s="17" t="n">
        <f aca="false">IFERROR(INDEX('Shift Master'!$D$5:$D$16,MATCH(G280,'Shift Master'!$A$5:$A$16,0)),"")</f>
        <v>0.708333333333333</v>
      </c>
      <c r="J280" s="16" t="n">
        <f aca="false">IFERROR(INDEX('Shift Master'!$E$5:$E$16,MATCH(G280,'Shift Master'!$A$5:$A$16,0)),"")</f>
        <v>60</v>
      </c>
      <c r="K280" s="16" t="n">
        <f aca="false">IFERROR(INDEX('Shift Master'!$G$5:$G$16,MATCH(G280,'Shift Master'!$A$5:$A$16,0)),0)</f>
        <v>8</v>
      </c>
      <c r="L280" s="16" t="s">
        <v>228</v>
      </c>
      <c r="M280" s="16" t="s">
        <v>229</v>
      </c>
      <c r="N280" s="16" t="str">
        <f aca="false">IF(COUNTIFS('Staffing Coverage'!$A$5:$A$12,E280,'Staffing Coverage'!$B$5:$B$12,G280)=0,"",IF(COUNTIFS($A$5:$A$10004,A280,$E$5:$E$10004,E280,$G$5:$G$10004,G280)&lt;INDEX('Staffing Coverage'!$C$5:$C$12,MATCH(1,('Staffing Coverage'!$A$5:$A$12=E280)*('Staffing Coverage'!$B$5:$B$12=G280),0)),"SHORT","OK"))</f>
        <v/>
      </c>
    </row>
    <row r="281" customFormat="false" ht="15" hidden="false" customHeight="false" outlineLevel="0" collapsed="false">
      <c r="A281" s="15" t="n">
        <v>46309</v>
      </c>
      <c r="B281" s="16" t="str">
        <f aca="false">TEXT(A281,"ddd")</f>
        <v>Wed</v>
      </c>
      <c r="C281" s="10" t="s">
        <v>204</v>
      </c>
      <c r="D281" s="16" t="str">
        <f aca="false">IFERROR(INDEX('Staff Master'!$B$5:$B$24,MATCH(C281,'Staff Master'!$A$5:$A$24,0)),"")</f>
        <v>Josephine Cruz</v>
      </c>
      <c r="E281" s="16" t="str">
        <f aca="false">IFERROR(INDEX('Staff Master'!$D$5:$D$24,MATCH(C281,'Staff Master'!$A$5:$A$24,0)),"")</f>
        <v>CSSD</v>
      </c>
      <c r="F281" s="16" t="str">
        <f aca="false">IFERROR(INDEX('Staff Master'!$E$5:$E$24,MATCH(C281,'Staff Master'!$A$5:$A$24,0)),"")</f>
        <v>CSSD Technician</v>
      </c>
      <c r="G281" s="10" t="s">
        <v>87</v>
      </c>
      <c r="H281" s="17" t="n">
        <f aca="false">IFERROR(INDEX('Shift Master'!$C$5:$C$16,MATCH(G281,'Shift Master'!$A$5:$A$16,0)),"")</f>
        <v>0.333333333333333</v>
      </c>
      <c r="I281" s="17" t="n">
        <f aca="false">IFERROR(INDEX('Shift Master'!$D$5:$D$16,MATCH(G281,'Shift Master'!$A$5:$A$16,0)),"")</f>
        <v>0.708333333333333</v>
      </c>
      <c r="J281" s="16" t="n">
        <f aca="false">IFERROR(INDEX('Shift Master'!$E$5:$E$16,MATCH(G281,'Shift Master'!$A$5:$A$16,0)),"")</f>
        <v>60</v>
      </c>
      <c r="K281" s="16" t="n">
        <f aca="false">IFERROR(INDEX('Shift Master'!$G$5:$G$16,MATCH(G281,'Shift Master'!$A$5:$A$16,0)),0)</f>
        <v>8</v>
      </c>
      <c r="L281" s="16" t="s">
        <v>228</v>
      </c>
      <c r="M281" s="16" t="s">
        <v>229</v>
      </c>
      <c r="N281" s="16" t="str">
        <f aca="false">IF(COUNTIFS('Staffing Coverage'!$A$5:$A$12,E281,'Staffing Coverage'!$B$5:$B$12,G281)=0,"",IF(COUNTIFS($A$5:$A$10004,A281,$E$5:$E$10004,E281,$G$5:$G$10004,G281)&lt;INDEX('Staffing Coverage'!$C$5:$C$12,MATCH(1,('Staffing Coverage'!$A$5:$A$12=E281)*('Staffing Coverage'!$B$5:$B$12=G281),0)),"SHORT","OK"))</f>
        <v>OK</v>
      </c>
    </row>
    <row r="282" customFormat="false" ht="15" hidden="false" customHeight="false" outlineLevel="0" collapsed="false">
      <c r="A282" s="15" t="n">
        <v>46309</v>
      </c>
      <c r="B282" s="16" t="str">
        <f aca="false">TEXT(A282,"ddd")</f>
        <v>Wed</v>
      </c>
      <c r="C282" s="10" t="s">
        <v>208</v>
      </c>
      <c r="D282" s="16" t="str">
        <f aca="false">IFERROR(INDEX('Staff Master'!$B$5:$B$24,MATCH(C282,'Staff Master'!$A$5:$A$24,0)),"")</f>
        <v>Rosalyn Tan</v>
      </c>
      <c r="E282" s="16" t="str">
        <f aca="false">IFERROR(INDEX('Staff Master'!$D$5:$D$24,MATCH(C282,'Staff Master'!$A$5:$A$24,0)),"")</f>
        <v>Cleaning</v>
      </c>
      <c r="F282" s="16" t="str">
        <f aca="false">IFERROR(INDEX('Staff Master'!$E$5:$E$24,MATCH(C282,'Staff Master'!$A$5:$A$24,0)),"")</f>
        <v>Cleaner</v>
      </c>
      <c r="G282" s="10" t="s">
        <v>87</v>
      </c>
      <c r="H282" s="17" t="n">
        <f aca="false">IFERROR(INDEX('Shift Master'!$C$5:$C$16,MATCH(G282,'Shift Master'!$A$5:$A$16,0)),"")</f>
        <v>0.333333333333333</v>
      </c>
      <c r="I282" s="17" t="n">
        <f aca="false">IFERROR(INDEX('Shift Master'!$D$5:$D$16,MATCH(G282,'Shift Master'!$A$5:$A$16,0)),"")</f>
        <v>0.708333333333333</v>
      </c>
      <c r="J282" s="16" t="n">
        <f aca="false">IFERROR(INDEX('Shift Master'!$E$5:$E$16,MATCH(G282,'Shift Master'!$A$5:$A$16,0)),"")</f>
        <v>60</v>
      </c>
      <c r="K282" s="16" t="n">
        <f aca="false">IFERROR(INDEX('Shift Master'!$G$5:$G$16,MATCH(G282,'Shift Master'!$A$5:$A$16,0)),0)</f>
        <v>8</v>
      </c>
      <c r="L282" s="16" t="s">
        <v>228</v>
      </c>
      <c r="M282" s="16" t="s">
        <v>229</v>
      </c>
      <c r="N282" s="16" t="str">
        <f aca="false">IF(COUNTIFS('Staffing Coverage'!$A$5:$A$12,E282,'Staffing Coverage'!$B$5:$B$12,G282)=0,"",IF(COUNTIFS($A$5:$A$10004,A282,$E$5:$E$10004,E282,$G$5:$G$10004,G282)&lt;INDEX('Staffing Coverage'!$C$5:$C$12,MATCH(1,('Staffing Coverage'!$A$5:$A$12=E282)*('Staffing Coverage'!$B$5:$B$12=G282),0)),"SHORT","OK"))</f>
        <v>OK</v>
      </c>
    </row>
    <row r="283" customFormat="false" ht="15" hidden="false" customHeight="false" outlineLevel="0" collapsed="false">
      <c r="A283" s="15" t="n">
        <v>46309</v>
      </c>
      <c r="B283" s="16" t="str">
        <f aca="false">TEXT(A283,"ddd")</f>
        <v>Wed</v>
      </c>
      <c r="C283" s="10" t="s">
        <v>212</v>
      </c>
      <c r="D283" s="16" t="str">
        <f aca="false">IFERROR(INDEX('Staff Master'!$B$5:$B$24,MATCH(C283,'Staff Master'!$A$5:$A$24,0)),"")</f>
        <v>Hassan Baig</v>
      </c>
      <c r="E283" s="16" t="str">
        <f aca="false">IFERROR(INDEX('Staff Master'!$D$5:$D$24,MATCH(C283,'Staff Master'!$A$5:$A$24,0)),"")</f>
        <v>Facilities</v>
      </c>
      <c r="F283" s="16" t="str">
        <f aca="false">IFERROR(INDEX('Staff Master'!$E$5:$E$24,MATCH(C283,'Staff Master'!$A$5:$A$24,0)),"")</f>
        <v>Facility Manager</v>
      </c>
      <c r="G283" s="10" t="s">
        <v>90</v>
      </c>
      <c r="H283" s="17" t="n">
        <f aca="false">IFERROR(INDEX('Shift Master'!$C$5:$C$16,MATCH(G283,'Shift Master'!$A$5:$A$16,0)),"")</f>
        <v>0.375</v>
      </c>
      <c r="I283" s="17" t="n">
        <f aca="false">IFERROR(INDEX('Shift Master'!$D$5:$D$16,MATCH(G283,'Shift Master'!$A$5:$A$16,0)),"")</f>
        <v>0.75</v>
      </c>
      <c r="J283" s="16" t="n">
        <f aca="false">IFERROR(INDEX('Shift Master'!$E$5:$E$16,MATCH(G283,'Shift Master'!$A$5:$A$16,0)),"")</f>
        <v>60</v>
      </c>
      <c r="K283" s="16" t="n">
        <f aca="false">IFERROR(INDEX('Shift Master'!$G$5:$G$16,MATCH(G283,'Shift Master'!$A$5:$A$16,0)),0)</f>
        <v>8</v>
      </c>
      <c r="L283" s="16" t="s">
        <v>228</v>
      </c>
      <c r="M283" s="16" t="s">
        <v>229</v>
      </c>
      <c r="N283" s="16" t="str">
        <f aca="false">IF(COUNTIFS('Staffing Coverage'!$A$5:$A$12,E283,'Staffing Coverage'!$B$5:$B$12,G283)=0,"",IF(COUNTIFS($A$5:$A$10004,A283,$E$5:$E$10004,E283,$G$5:$G$10004,G283)&lt;INDEX('Staffing Coverage'!$C$5:$C$12,MATCH(1,('Staffing Coverage'!$A$5:$A$12=E283)*('Staffing Coverage'!$B$5:$B$12=G283),0)),"SHORT","OK"))</f>
        <v/>
      </c>
    </row>
    <row r="284" customFormat="false" ht="15" hidden="false" customHeight="false" outlineLevel="0" collapsed="false">
      <c r="A284" s="15" t="n">
        <v>46309</v>
      </c>
      <c r="B284" s="16" t="str">
        <f aca="false">TEXT(A284,"ddd")</f>
        <v>Wed</v>
      </c>
      <c r="C284" s="10" t="s">
        <v>178</v>
      </c>
      <c r="D284" s="16" t="str">
        <f aca="false">IFERROR(INDEX('Staff Master'!$B$5:$B$24,MATCH(C284,'Staff Master'!$A$5:$A$24,0)),"")</f>
        <v>Meera Pillai</v>
      </c>
      <c r="E284" s="16" t="str">
        <f aca="false">IFERROR(INDEX('Staff Master'!$D$5:$D$24,MATCH(C284,'Staff Master'!$A$5:$A$24,0)),"")</f>
        <v>HR</v>
      </c>
      <c r="F284" s="16" t="str">
        <f aca="false">IFERROR(INDEX('Staff Master'!$E$5:$E$24,MATCH(C284,'Staff Master'!$A$5:$A$24,0)),"")</f>
        <v>HR Executive</v>
      </c>
      <c r="G284" s="10" t="s">
        <v>90</v>
      </c>
      <c r="H284" s="17" t="n">
        <f aca="false">IFERROR(INDEX('Shift Master'!$C$5:$C$16,MATCH(G284,'Shift Master'!$A$5:$A$16,0)),"")</f>
        <v>0.375</v>
      </c>
      <c r="I284" s="17" t="n">
        <f aca="false">IFERROR(INDEX('Shift Master'!$D$5:$D$16,MATCH(G284,'Shift Master'!$A$5:$A$16,0)),"")</f>
        <v>0.75</v>
      </c>
      <c r="J284" s="16" t="n">
        <f aca="false">IFERROR(INDEX('Shift Master'!$E$5:$E$16,MATCH(G284,'Shift Master'!$A$5:$A$16,0)),"")</f>
        <v>60</v>
      </c>
      <c r="K284" s="16" t="n">
        <f aca="false">IFERROR(INDEX('Shift Master'!$G$5:$G$16,MATCH(G284,'Shift Master'!$A$5:$A$16,0)),0)</f>
        <v>8</v>
      </c>
      <c r="L284" s="16" t="s">
        <v>228</v>
      </c>
      <c r="M284" s="16" t="s">
        <v>229</v>
      </c>
      <c r="N284" s="16" t="str">
        <f aca="false">IF(COUNTIFS('Staffing Coverage'!$A$5:$A$12,E284,'Staffing Coverage'!$B$5:$B$12,G284)=0,"",IF(COUNTIFS($A$5:$A$10004,A284,$E$5:$E$10004,E284,$G$5:$G$10004,G284)&lt;INDEX('Staffing Coverage'!$C$5:$C$12,MATCH(1,('Staffing Coverage'!$A$5:$A$12=E284)*('Staffing Coverage'!$B$5:$B$12=G284),0)),"SHORT","OK"))</f>
        <v/>
      </c>
    </row>
    <row r="285" customFormat="false" ht="15" hidden="false" customHeight="false" outlineLevel="0" collapsed="false">
      <c r="A285" s="15" t="n">
        <v>46310</v>
      </c>
      <c r="B285" s="16" t="str">
        <f aca="false">TEXT(A285,"ddd")</f>
        <v>Thu</v>
      </c>
      <c r="C285" s="10" t="s">
        <v>128</v>
      </c>
      <c r="D285" s="16" t="str">
        <f aca="false">IFERROR(INDEX('Staff Master'!$B$5:$B$24,MATCH(C285,'Staff Master'!$A$5:$A$24,0)),"")</f>
        <v>Rashid Al Nuaimi</v>
      </c>
      <c r="E285" s="16" t="str">
        <f aca="false">IFERROR(INDEX('Staff Master'!$D$5:$D$24,MATCH(C285,'Staff Master'!$A$5:$A$24,0)),"")</f>
        <v>Management</v>
      </c>
      <c r="F285" s="16" t="str">
        <f aca="false">IFERROR(INDEX('Staff Master'!$E$5:$E$24,MATCH(C285,'Staff Master'!$A$5:$A$24,0)),"")</f>
        <v>CEO</v>
      </c>
      <c r="G285" s="10" t="s">
        <v>90</v>
      </c>
      <c r="H285" s="17" t="n">
        <f aca="false">IFERROR(INDEX('Shift Master'!$C$5:$C$16,MATCH(G285,'Shift Master'!$A$5:$A$16,0)),"")</f>
        <v>0.375</v>
      </c>
      <c r="I285" s="17" t="n">
        <f aca="false">IFERROR(INDEX('Shift Master'!$D$5:$D$16,MATCH(G285,'Shift Master'!$A$5:$A$16,0)),"")</f>
        <v>0.75</v>
      </c>
      <c r="J285" s="16" t="n">
        <f aca="false">IFERROR(INDEX('Shift Master'!$E$5:$E$16,MATCH(G285,'Shift Master'!$A$5:$A$16,0)),"")</f>
        <v>60</v>
      </c>
      <c r="K285" s="16" t="n">
        <f aca="false">IFERROR(INDEX('Shift Master'!$G$5:$G$16,MATCH(G285,'Shift Master'!$A$5:$A$16,0)),0)</f>
        <v>8</v>
      </c>
      <c r="L285" s="16" t="s">
        <v>228</v>
      </c>
      <c r="M285" s="16" t="s">
        <v>229</v>
      </c>
      <c r="N285" s="16" t="str">
        <f aca="false">IF(COUNTIFS('Staffing Coverage'!$A$5:$A$12,E285,'Staffing Coverage'!$B$5:$B$12,G285)=0,"",IF(COUNTIFS($A$5:$A$10004,A285,$E$5:$E$10004,E285,$G$5:$G$10004,G285)&lt;INDEX('Staffing Coverage'!$C$5:$C$12,MATCH(1,('Staffing Coverage'!$A$5:$A$12=E285)*('Staffing Coverage'!$B$5:$B$12=G285),0)),"SHORT","OK"))</f>
        <v/>
      </c>
    </row>
    <row r="286" customFormat="false" ht="15" hidden="false" customHeight="false" outlineLevel="0" collapsed="false">
      <c r="A286" s="15" t="n">
        <v>46310</v>
      </c>
      <c r="B286" s="16" t="str">
        <f aca="false">TEXT(A286,"ddd")</f>
        <v>Thu</v>
      </c>
      <c r="C286" s="10" t="s">
        <v>137</v>
      </c>
      <c r="D286" s="16" t="str">
        <f aca="false">IFERROR(INDEX('Staff Master'!$B$5:$B$24,MATCH(C286,'Staff Master'!$A$5:$A$24,0)),"")</f>
        <v>Dr. Sara Haddad</v>
      </c>
      <c r="E286" s="16" t="str">
        <f aca="false">IFERROR(INDEX('Staff Master'!$D$5:$D$24,MATCH(C286,'Staff Master'!$A$5:$A$24,0)),"")</f>
        <v>General Practice</v>
      </c>
      <c r="F286" s="16" t="str">
        <f aca="false">IFERROR(INDEX('Staff Master'!$E$5:$E$24,MATCH(C286,'Staff Master'!$A$5:$A$24,0)),"")</f>
        <v>Medical Director</v>
      </c>
      <c r="G286" s="10" t="s">
        <v>96</v>
      </c>
      <c r="H286" s="17" t="n">
        <f aca="false">IFERROR(INDEX('Shift Master'!$C$5:$C$16,MATCH(G286,'Shift Master'!$A$5:$A$16,0)),"")</f>
        <v>0.375</v>
      </c>
      <c r="I286" s="17" t="n">
        <f aca="false">IFERROR(INDEX('Shift Master'!$D$5:$D$16,MATCH(G286,'Shift Master'!$A$5:$A$16,0)),"")</f>
        <v>0.708333333333333</v>
      </c>
      <c r="J286" s="16" t="n">
        <f aca="false">IFERROR(INDEX('Shift Master'!$E$5:$E$16,MATCH(G286,'Shift Master'!$A$5:$A$16,0)),"")</f>
        <v>60</v>
      </c>
      <c r="K286" s="16" t="n">
        <f aca="false">IFERROR(INDEX('Shift Master'!$G$5:$G$16,MATCH(G286,'Shift Master'!$A$5:$A$16,0)),0)</f>
        <v>7</v>
      </c>
      <c r="L286" s="16" t="s">
        <v>228</v>
      </c>
      <c r="M286" s="16" t="s">
        <v>229</v>
      </c>
      <c r="N286" s="16" t="str">
        <f aca="false">IF(COUNTIFS('Staffing Coverage'!$A$5:$A$12,E286,'Staffing Coverage'!$B$5:$B$12,G286)=0,"",IF(COUNTIFS($A$5:$A$10004,A286,$E$5:$E$10004,E286,$G$5:$G$10004,G286)&lt;INDEX('Staffing Coverage'!$C$5:$C$12,MATCH(1,('Staffing Coverage'!$A$5:$A$12=E286)*('Staffing Coverage'!$B$5:$B$12=G286),0)),"SHORT","OK"))</f>
        <v/>
      </c>
    </row>
    <row r="287" customFormat="false" ht="15" hidden="false" customHeight="false" outlineLevel="0" collapsed="false">
      <c r="A287" s="15" t="n">
        <v>46310</v>
      </c>
      <c r="B287" s="16" t="str">
        <f aca="false">TEXT(A287,"ddd")</f>
        <v>Thu</v>
      </c>
      <c r="C287" s="10" t="s">
        <v>142</v>
      </c>
      <c r="D287" s="16" t="str">
        <f aca="false">IFERROR(INDEX('Staff Master'!$B$5:$B$24,MATCH(C287,'Staff Master'!$A$5:$A$24,0)),"")</f>
        <v>Dr. Omar Khalil</v>
      </c>
      <c r="E287" s="16" t="str">
        <f aca="false">IFERROR(INDEX('Staff Master'!$D$5:$D$24,MATCH(C287,'Staff Master'!$A$5:$A$24,0)),"")</f>
        <v>General Practice</v>
      </c>
      <c r="F287" s="16" t="str">
        <f aca="false">IFERROR(INDEX('Staff Master'!$E$5:$E$24,MATCH(C287,'Staff Master'!$A$5:$A$24,0)),"")</f>
        <v>Doctor</v>
      </c>
      <c r="G287" s="10" t="s">
        <v>96</v>
      </c>
      <c r="H287" s="17" t="n">
        <f aca="false">IFERROR(INDEX('Shift Master'!$C$5:$C$16,MATCH(G287,'Shift Master'!$A$5:$A$16,0)),"")</f>
        <v>0.375</v>
      </c>
      <c r="I287" s="17" t="n">
        <f aca="false">IFERROR(INDEX('Shift Master'!$D$5:$D$16,MATCH(G287,'Shift Master'!$A$5:$A$16,0)),"")</f>
        <v>0.708333333333333</v>
      </c>
      <c r="J287" s="16" t="n">
        <f aca="false">IFERROR(INDEX('Shift Master'!$E$5:$E$16,MATCH(G287,'Shift Master'!$A$5:$A$16,0)),"")</f>
        <v>60</v>
      </c>
      <c r="K287" s="16" t="n">
        <f aca="false">IFERROR(INDEX('Shift Master'!$G$5:$G$16,MATCH(G287,'Shift Master'!$A$5:$A$16,0)),0)</f>
        <v>7</v>
      </c>
      <c r="L287" s="16" t="s">
        <v>228</v>
      </c>
      <c r="M287" s="16" t="s">
        <v>229</v>
      </c>
      <c r="N287" s="16" t="str">
        <f aca="false">IF(COUNTIFS('Staffing Coverage'!$A$5:$A$12,E287,'Staffing Coverage'!$B$5:$B$12,G287)=0,"",IF(COUNTIFS($A$5:$A$10004,A287,$E$5:$E$10004,E287,$G$5:$G$10004,G287)&lt;INDEX('Staffing Coverage'!$C$5:$C$12,MATCH(1,('Staffing Coverage'!$A$5:$A$12=E287)*('Staffing Coverage'!$B$5:$B$12=G287),0)),"SHORT","OK"))</f>
        <v/>
      </c>
    </row>
    <row r="288" customFormat="false" ht="15" hidden="false" customHeight="false" outlineLevel="0" collapsed="false">
      <c r="A288" s="15" t="n">
        <v>46310</v>
      </c>
      <c r="B288" s="16" t="str">
        <f aca="false">TEXT(A288,"ddd")</f>
        <v>Thu</v>
      </c>
      <c r="C288" s="10" t="s">
        <v>146</v>
      </c>
      <c r="D288" s="16" t="str">
        <f aca="false">IFERROR(INDEX('Staff Master'!$B$5:$B$24,MATCH(C288,'Staff Master'!$A$5:$A$24,0)),"")</f>
        <v>Dr. Lina Abboud</v>
      </c>
      <c r="E288" s="16" t="str">
        <f aca="false">IFERROR(INDEX('Staff Master'!$D$5:$D$24,MATCH(C288,'Staff Master'!$A$5:$A$24,0)),"")</f>
        <v>Dental</v>
      </c>
      <c r="F288" s="16" t="str">
        <f aca="false">IFERROR(INDEX('Staff Master'!$E$5:$E$24,MATCH(C288,'Staff Master'!$A$5:$A$24,0)),"")</f>
        <v>Dentist</v>
      </c>
      <c r="G288" s="10" t="s">
        <v>96</v>
      </c>
      <c r="H288" s="17" t="n">
        <f aca="false">IFERROR(INDEX('Shift Master'!$C$5:$C$16,MATCH(G288,'Shift Master'!$A$5:$A$16,0)),"")</f>
        <v>0.375</v>
      </c>
      <c r="I288" s="17" t="n">
        <f aca="false">IFERROR(INDEX('Shift Master'!$D$5:$D$16,MATCH(G288,'Shift Master'!$A$5:$A$16,0)),"")</f>
        <v>0.708333333333333</v>
      </c>
      <c r="J288" s="16" t="n">
        <f aca="false">IFERROR(INDEX('Shift Master'!$E$5:$E$16,MATCH(G288,'Shift Master'!$A$5:$A$16,0)),"")</f>
        <v>60</v>
      </c>
      <c r="K288" s="16" t="n">
        <f aca="false">IFERROR(INDEX('Shift Master'!$G$5:$G$16,MATCH(G288,'Shift Master'!$A$5:$A$16,0)),0)</f>
        <v>7</v>
      </c>
      <c r="L288" s="16" t="s">
        <v>228</v>
      </c>
      <c r="M288" s="16" t="s">
        <v>229</v>
      </c>
      <c r="N288" s="16" t="str">
        <f aca="false">IF(COUNTIFS('Staffing Coverage'!$A$5:$A$12,E288,'Staffing Coverage'!$B$5:$B$12,G288)=0,"",IF(COUNTIFS($A$5:$A$10004,A288,$E$5:$E$10004,E288,$G$5:$G$10004,G288)&lt;INDEX('Staffing Coverage'!$C$5:$C$12,MATCH(1,('Staffing Coverage'!$A$5:$A$12=E288)*('Staffing Coverage'!$B$5:$B$12=G288),0)),"SHORT","OK"))</f>
        <v/>
      </c>
    </row>
    <row r="289" customFormat="false" ht="15" hidden="false" customHeight="false" outlineLevel="0" collapsed="false">
      <c r="A289" s="15" t="n">
        <v>46310</v>
      </c>
      <c r="B289" s="16" t="str">
        <f aca="false">TEXT(A289,"ddd")</f>
        <v>Thu</v>
      </c>
      <c r="C289" s="10" t="s">
        <v>150</v>
      </c>
      <c r="D289" s="16" t="str">
        <f aca="false">IFERROR(INDEX('Staff Master'!$B$5:$B$24,MATCH(C289,'Staff Master'!$A$5:$A$24,0)),"")</f>
        <v>Dr. Farah Idris</v>
      </c>
      <c r="E289" s="16" t="str">
        <f aca="false">IFERROR(INDEX('Staff Master'!$D$5:$D$24,MATCH(C289,'Staff Master'!$A$5:$A$24,0)),"")</f>
        <v>Dental</v>
      </c>
      <c r="F289" s="16" t="str">
        <f aca="false">IFERROR(INDEX('Staff Master'!$E$5:$E$24,MATCH(C289,'Staff Master'!$A$5:$A$24,0)),"")</f>
        <v>Dentist</v>
      </c>
      <c r="G289" s="10" t="s">
        <v>96</v>
      </c>
      <c r="H289" s="17" t="n">
        <f aca="false">IFERROR(INDEX('Shift Master'!$C$5:$C$16,MATCH(G289,'Shift Master'!$A$5:$A$16,0)),"")</f>
        <v>0.375</v>
      </c>
      <c r="I289" s="17" t="n">
        <f aca="false">IFERROR(INDEX('Shift Master'!$D$5:$D$16,MATCH(G289,'Shift Master'!$A$5:$A$16,0)),"")</f>
        <v>0.708333333333333</v>
      </c>
      <c r="J289" s="16" t="n">
        <f aca="false">IFERROR(INDEX('Shift Master'!$E$5:$E$16,MATCH(G289,'Shift Master'!$A$5:$A$16,0)),"")</f>
        <v>60</v>
      </c>
      <c r="K289" s="16" t="n">
        <f aca="false">IFERROR(INDEX('Shift Master'!$G$5:$G$16,MATCH(G289,'Shift Master'!$A$5:$A$16,0)),0)</f>
        <v>7</v>
      </c>
      <c r="L289" s="16" t="s">
        <v>228</v>
      </c>
      <c r="M289" s="16" t="s">
        <v>229</v>
      </c>
      <c r="N289" s="16" t="str">
        <f aca="false">IF(COUNTIFS('Staffing Coverage'!$A$5:$A$12,E289,'Staffing Coverage'!$B$5:$B$12,G289)=0,"",IF(COUNTIFS($A$5:$A$10004,A289,$E$5:$E$10004,E289,$G$5:$G$10004,G289)&lt;INDEX('Staffing Coverage'!$C$5:$C$12,MATCH(1,('Staffing Coverage'!$A$5:$A$12=E289)*('Staffing Coverage'!$B$5:$B$12=G289),0)),"SHORT","OK"))</f>
        <v/>
      </c>
    </row>
    <row r="290" customFormat="false" ht="15" hidden="false" customHeight="false" outlineLevel="0" collapsed="false">
      <c r="A290" s="15" t="n">
        <v>46310</v>
      </c>
      <c r="B290" s="16" t="str">
        <f aca="false">TEXT(A290,"ddd")</f>
        <v>Thu</v>
      </c>
      <c r="C290" s="10" t="s">
        <v>157</v>
      </c>
      <c r="D290" s="16" t="str">
        <f aca="false">IFERROR(INDEX('Staff Master'!$B$5:$B$24,MATCH(C290,'Staff Master'!$A$5:$A$24,0)),"")</f>
        <v>Dr. Youssef Nassar</v>
      </c>
      <c r="E290" s="16" t="str">
        <f aca="false">IFERROR(INDEX('Staff Master'!$D$5:$D$24,MATCH(C290,'Staff Master'!$A$5:$A$24,0)),"")</f>
        <v>General Practice</v>
      </c>
      <c r="F290" s="16" t="str">
        <f aca="false">IFERROR(INDEX('Staff Master'!$E$5:$E$24,MATCH(C290,'Staff Master'!$A$5:$A$24,0)),"")</f>
        <v>General Practitioner</v>
      </c>
      <c r="G290" s="10" t="s">
        <v>96</v>
      </c>
      <c r="H290" s="17" t="n">
        <f aca="false">IFERROR(INDEX('Shift Master'!$C$5:$C$16,MATCH(G290,'Shift Master'!$A$5:$A$16,0)),"")</f>
        <v>0.375</v>
      </c>
      <c r="I290" s="17" t="n">
        <f aca="false">IFERROR(INDEX('Shift Master'!$D$5:$D$16,MATCH(G290,'Shift Master'!$A$5:$A$16,0)),"")</f>
        <v>0.708333333333333</v>
      </c>
      <c r="J290" s="16" t="n">
        <f aca="false">IFERROR(INDEX('Shift Master'!$E$5:$E$16,MATCH(G290,'Shift Master'!$A$5:$A$16,0)),"")</f>
        <v>60</v>
      </c>
      <c r="K290" s="16" t="n">
        <f aca="false">IFERROR(INDEX('Shift Master'!$G$5:$G$16,MATCH(G290,'Shift Master'!$A$5:$A$16,0)),0)</f>
        <v>7</v>
      </c>
      <c r="L290" s="16" t="s">
        <v>228</v>
      </c>
      <c r="M290" s="16" t="s">
        <v>229</v>
      </c>
      <c r="N290" s="16" t="str">
        <f aca="false">IF(COUNTIFS('Staffing Coverage'!$A$5:$A$12,E290,'Staffing Coverage'!$B$5:$B$12,G290)=0,"",IF(COUNTIFS($A$5:$A$10004,A290,$E$5:$E$10004,E290,$G$5:$G$10004,G290)&lt;INDEX('Staffing Coverage'!$C$5:$C$12,MATCH(1,('Staffing Coverage'!$A$5:$A$12=E290)*('Staffing Coverage'!$B$5:$B$12=G290),0)),"SHORT","OK"))</f>
        <v/>
      </c>
    </row>
    <row r="291" customFormat="false" ht="15" hidden="false" customHeight="false" outlineLevel="0" collapsed="false">
      <c r="A291" s="15" t="n">
        <v>46310</v>
      </c>
      <c r="B291" s="16" t="str">
        <f aca="false">TEXT(A291,"ddd")</f>
        <v>Thu</v>
      </c>
      <c r="C291" s="10" t="s">
        <v>161</v>
      </c>
      <c r="D291" s="16" t="str">
        <f aca="false">IFERROR(INDEX('Staff Master'!$B$5:$B$24,MATCH(C291,'Staff Master'!$A$5:$A$24,0)),"")</f>
        <v>Grace Fernandez</v>
      </c>
      <c r="E291" s="16" t="str">
        <f aca="false">IFERROR(INDEX('Staff Master'!$D$5:$D$24,MATCH(C291,'Staff Master'!$A$5:$A$24,0)),"")</f>
        <v>Nursing</v>
      </c>
      <c r="F291" s="16" t="str">
        <f aca="false">IFERROR(INDEX('Staff Master'!$E$5:$E$24,MATCH(C291,'Staff Master'!$A$5:$A$24,0)),"")</f>
        <v>Nurse</v>
      </c>
      <c r="G291" s="10" t="s">
        <v>87</v>
      </c>
      <c r="H291" s="17" t="n">
        <f aca="false">IFERROR(INDEX('Shift Master'!$C$5:$C$16,MATCH(G291,'Shift Master'!$A$5:$A$16,0)),"")</f>
        <v>0.333333333333333</v>
      </c>
      <c r="I291" s="17" t="n">
        <f aca="false">IFERROR(INDEX('Shift Master'!$D$5:$D$16,MATCH(G291,'Shift Master'!$A$5:$A$16,0)),"")</f>
        <v>0.708333333333333</v>
      </c>
      <c r="J291" s="16" t="n">
        <f aca="false">IFERROR(INDEX('Shift Master'!$E$5:$E$16,MATCH(G291,'Shift Master'!$A$5:$A$16,0)),"")</f>
        <v>60</v>
      </c>
      <c r="K291" s="16" t="n">
        <f aca="false">IFERROR(INDEX('Shift Master'!$G$5:$G$16,MATCH(G291,'Shift Master'!$A$5:$A$16,0)),0)</f>
        <v>8</v>
      </c>
      <c r="L291" s="16" t="s">
        <v>228</v>
      </c>
      <c r="M291" s="16" t="s">
        <v>229</v>
      </c>
      <c r="N291" s="16" t="str">
        <f aca="false">IF(COUNTIFS('Staffing Coverage'!$A$5:$A$12,E291,'Staffing Coverage'!$B$5:$B$12,G291)=0,"",IF(COUNTIFS($A$5:$A$10004,A291,$E$5:$E$10004,E291,$G$5:$G$10004,G291)&lt;INDEX('Staffing Coverage'!$C$5:$C$12,MATCH(1,('Staffing Coverage'!$A$5:$A$12=E291)*('Staffing Coverage'!$B$5:$B$12=G291),0)),"SHORT","OK"))</f>
        <v>OK</v>
      </c>
    </row>
    <row r="292" customFormat="false" ht="15" hidden="false" customHeight="false" outlineLevel="0" collapsed="false">
      <c r="A292" s="15" t="n">
        <v>46310</v>
      </c>
      <c r="B292" s="16" t="str">
        <f aca="false">TEXT(A292,"ddd")</f>
        <v>Thu</v>
      </c>
      <c r="C292" s="10" t="s">
        <v>165</v>
      </c>
      <c r="D292" s="16" t="str">
        <f aca="false">IFERROR(INDEX('Staff Master'!$B$5:$B$24,MATCH(C292,'Staff Master'!$A$5:$A$24,0)),"")</f>
        <v>Priya Nair</v>
      </c>
      <c r="E292" s="16" t="str">
        <f aca="false">IFERROR(INDEX('Staff Master'!$D$5:$D$24,MATCH(C292,'Staff Master'!$A$5:$A$24,0)),"")</f>
        <v>Nursing</v>
      </c>
      <c r="F292" s="16" t="str">
        <f aca="false">IFERROR(INDEX('Staff Master'!$E$5:$E$24,MATCH(C292,'Staff Master'!$A$5:$A$24,0)),"")</f>
        <v>Nurse</v>
      </c>
      <c r="G292" s="10" t="s">
        <v>90</v>
      </c>
      <c r="H292" s="17" t="n">
        <f aca="false">IFERROR(INDEX('Shift Master'!$C$5:$C$16,MATCH(G292,'Shift Master'!$A$5:$A$16,0)),"")</f>
        <v>0.375</v>
      </c>
      <c r="I292" s="17" t="n">
        <f aca="false">IFERROR(INDEX('Shift Master'!$D$5:$D$16,MATCH(G292,'Shift Master'!$A$5:$A$16,0)),"")</f>
        <v>0.75</v>
      </c>
      <c r="J292" s="16" t="n">
        <f aca="false">IFERROR(INDEX('Shift Master'!$E$5:$E$16,MATCH(G292,'Shift Master'!$A$5:$A$16,0)),"")</f>
        <v>60</v>
      </c>
      <c r="K292" s="16" t="n">
        <f aca="false">IFERROR(INDEX('Shift Master'!$G$5:$G$16,MATCH(G292,'Shift Master'!$A$5:$A$16,0)),0)</f>
        <v>8</v>
      </c>
      <c r="L292" s="16" t="s">
        <v>228</v>
      </c>
      <c r="M292" s="16" t="s">
        <v>229</v>
      </c>
      <c r="N292" s="16" t="str">
        <f aca="false">IF(COUNTIFS('Staffing Coverage'!$A$5:$A$12,E292,'Staffing Coverage'!$B$5:$B$12,G292)=0,"",IF(COUNTIFS($A$5:$A$10004,A292,$E$5:$E$10004,E292,$G$5:$G$10004,G292)&lt;INDEX('Staffing Coverage'!$C$5:$C$12,MATCH(1,('Staffing Coverage'!$A$5:$A$12=E292)*('Staffing Coverage'!$B$5:$B$12=G292),0)),"SHORT","OK"))</f>
        <v>OK</v>
      </c>
    </row>
    <row r="293" customFormat="false" ht="15" hidden="false" customHeight="false" outlineLevel="0" collapsed="false">
      <c r="A293" s="15" t="n">
        <v>46310</v>
      </c>
      <c r="B293" s="16" t="str">
        <f aca="false">TEXT(A293,"ddd")</f>
        <v>Thu</v>
      </c>
      <c r="C293" s="10" t="s">
        <v>170</v>
      </c>
      <c r="D293" s="16" t="str">
        <f aca="false">IFERROR(INDEX('Staff Master'!$B$5:$B$24,MATCH(C293,'Staff Master'!$A$5:$A$24,0)),"")</f>
        <v>Maria Santos</v>
      </c>
      <c r="E293" s="16" t="str">
        <f aca="false">IFERROR(INDEX('Staff Master'!$D$5:$D$24,MATCH(C293,'Staff Master'!$A$5:$A$24,0)),"")</f>
        <v>Nursing</v>
      </c>
      <c r="F293" s="16" t="str">
        <f aca="false">IFERROR(INDEX('Staff Master'!$E$5:$E$24,MATCH(C293,'Staff Master'!$A$5:$A$24,0)),"")</f>
        <v>Nurse</v>
      </c>
      <c r="G293" s="10" t="s">
        <v>94</v>
      </c>
      <c r="H293" s="17" t="n">
        <f aca="false">IFERROR(INDEX('Shift Master'!$C$5:$C$16,MATCH(G293,'Shift Master'!$A$5:$A$16,0)),"")</f>
        <v>0.541666666666667</v>
      </c>
      <c r="I293" s="17" t="n">
        <f aca="false">IFERROR(INDEX('Shift Master'!$D$5:$D$16,MATCH(G293,'Shift Master'!$A$5:$A$16,0)),"")</f>
        <v>0.916666666666667</v>
      </c>
      <c r="J293" s="16" t="n">
        <f aca="false">IFERROR(INDEX('Shift Master'!$E$5:$E$16,MATCH(G293,'Shift Master'!$A$5:$A$16,0)),"")</f>
        <v>60</v>
      </c>
      <c r="K293" s="16" t="n">
        <f aca="false">IFERROR(INDEX('Shift Master'!$G$5:$G$16,MATCH(G293,'Shift Master'!$A$5:$A$16,0)),0)</f>
        <v>8</v>
      </c>
      <c r="L293" s="16" t="s">
        <v>228</v>
      </c>
      <c r="M293" s="16" t="s">
        <v>229</v>
      </c>
      <c r="N293" s="16" t="str">
        <f aca="false">IF(COUNTIFS('Staffing Coverage'!$A$5:$A$12,E293,'Staffing Coverage'!$B$5:$B$12,G293)=0,"",IF(COUNTIFS($A$5:$A$10004,A293,$E$5:$E$10004,E293,$G$5:$G$10004,G293)&lt;INDEX('Staffing Coverage'!$C$5:$C$12,MATCH(1,('Staffing Coverage'!$A$5:$A$12=E293)*('Staffing Coverage'!$B$5:$B$12=G293),0)),"SHORT","OK"))</f>
        <v/>
      </c>
    </row>
    <row r="294" customFormat="false" ht="15" hidden="false" customHeight="false" outlineLevel="0" collapsed="false">
      <c r="A294" s="15" t="n">
        <v>46310</v>
      </c>
      <c r="B294" s="16" t="str">
        <f aca="false">TEXT(A294,"ddd")</f>
        <v>Thu</v>
      </c>
      <c r="C294" s="10" t="s">
        <v>174</v>
      </c>
      <c r="D294" s="16" t="str">
        <f aca="false">IFERROR(INDEX('Staff Master'!$B$5:$B$24,MATCH(C294,'Staff Master'!$A$5:$A$24,0)),"")</f>
        <v>Aisha Al Shamsi</v>
      </c>
      <c r="E294" s="16" t="str">
        <f aca="false">IFERROR(INDEX('Staff Master'!$D$5:$D$24,MATCH(C294,'Staff Master'!$A$5:$A$24,0)),"")</f>
        <v>Reception</v>
      </c>
      <c r="F294" s="16" t="str">
        <f aca="false">IFERROR(INDEX('Staff Master'!$E$5:$E$24,MATCH(C294,'Staff Master'!$A$5:$A$24,0)),"")</f>
        <v>Receptionist</v>
      </c>
      <c r="G294" s="10" t="s">
        <v>87</v>
      </c>
      <c r="H294" s="17" t="n">
        <f aca="false">IFERROR(INDEX('Shift Master'!$C$5:$C$16,MATCH(G294,'Shift Master'!$A$5:$A$16,0)),"")</f>
        <v>0.333333333333333</v>
      </c>
      <c r="I294" s="17" t="n">
        <f aca="false">IFERROR(INDEX('Shift Master'!$D$5:$D$16,MATCH(G294,'Shift Master'!$A$5:$A$16,0)),"")</f>
        <v>0.708333333333333</v>
      </c>
      <c r="J294" s="16" t="n">
        <f aca="false">IFERROR(INDEX('Shift Master'!$E$5:$E$16,MATCH(G294,'Shift Master'!$A$5:$A$16,0)),"")</f>
        <v>60</v>
      </c>
      <c r="K294" s="16" t="n">
        <f aca="false">IFERROR(INDEX('Shift Master'!$G$5:$G$16,MATCH(G294,'Shift Master'!$A$5:$A$16,0)),0)</f>
        <v>8</v>
      </c>
      <c r="L294" s="16" t="s">
        <v>228</v>
      </c>
      <c r="M294" s="16" t="s">
        <v>229</v>
      </c>
      <c r="N294" s="16" t="str">
        <f aca="false">IF(COUNTIFS('Staffing Coverage'!$A$5:$A$12,E294,'Staffing Coverage'!$B$5:$B$12,G294)=0,"",IF(COUNTIFS($A$5:$A$10004,A294,$E$5:$E$10004,E294,$G$5:$G$10004,G294)&lt;INDEX('Staffing Coverage'!$C$5:$C$12,MATCH(1,('Staffing Coverage'!$A$5:$A$12=E294)*('Staffing Coverage'!$B$5:$B$12=G294),0)),"SHORT","OK"))</f>
        <v>SHORT</v>
      </c>
    </row>
    <row r="295" customFormat="false" ht="15" hidden="false" customHeight="false" outlineLevel="0" collapsed="false">
      <c r="A295" s="15" t="n">
        <v>46310</v>
      </c>
      <c r="B295" s="16" t="str">
        <f aca="false">TEXT(A295,"ddd")</f>
        <v>Thu</v>
      </c>
      <c r="C295" s="10" t="s">
        <v>179</v>
      </c>
      <c r="D295" s="16" t="str">
        <f aca="false">IFERROR(INDEX('Staff Master'!$B$5:$B$24,MATCH(C295,'Staff Master'!$A$5:$A$24,0)),"")</f>
        <v>John Dsouza</v>
      </c>
      <c r="E295" s="16" t="str">
        <f aca="false">IFERROR(INDEX('Staff Master'!$D$5:$D$24,MATCH(C295,'Staff Master'!$A$5:$A$24,0)),"")</f>
        <v>Reception</v>
      </c>
      <c r="F295" s="16" t="str">
        <f aca="false">IFERROR(INDEX('Staff Master'!$E$5:$E$24,MATCH(C295,'Staff Master'!$A$5:$A$24,0)),"")</f>
        <v>Receptionist</v>
      </c>
      <c r="G295" s="10" t="s">
        <v>90</v>
      </c>
      <c r="H295" s="17" t="n">
        <f aca="false">IFERROR(INDEX('Shift Master'!$C$5:$C$16,MATCH(G295,'Shift Master'!$A$5:$A$16,0)),"")</f>
        <v>0.375</v>
      </c>
      <c r="I295" s="17" t="n">
        <f aca="false">IFERROR(INDEX('Shift Master'!$D$5:$D$16,MATCH(G295,'Shift Master'!$A$5:$A$16,0)),"")</f>
        <v>0.75</v>
      </c>
      <c r="J295" s="16" t="n">
        <f aca="false">IFERROR(INDEX('Shift Master'!$E$5:$E$16,MATCH(G295,'Shift Master'!$A$5:$A$16,0)),"")</f>
        <v>60</v>
      </c>
      <c r="K295" s="16" t="n">
        <f aca="false">IFERROR(INDEX('Shift Master'!$G$5:$G$16,MATCH(G295,'Shift Master'!$A$5:$A$16,0)),0)</f>
        <v>8</v>
      </c>
      <c r="L295" s="16" t="s">
        <v>228</v>
      </c>
      <c r="M295" s="16" t="s">
        <v>229</v>
      </c>
      <c r="N295" s="16" t="str">
        <f aca="false">IF(COUNTIFS('Staffing Coverage'!$A$5:$A$12,E295,'Staffing Coverage'!$B$5:$B$12,G295)=0,"",IF(COUNTIFS($A$5:$A$10004,A295,$E$5:$E$10004,E295,$G$5:$G$10004,G295)&lt;INDEX('Staffing Coverage'!$C$5:$C$12,MATCH(1,('Staffing Coverage'!$A$5:$A$12=E295)*('Staffing Coverage'!$B$5:$B$12=G295),0)),"SHORT","OK"))</f>
        <v>SHORT</v>
      </c>
    </row>
    <row r="296" customFormat="false" ht="15" hidden="false" customHeight="false" outlineLevel="0" collapsed="false">
      <c r="A296" s="15" t="n">
        <v>46310</v>
      </c>
      <c r="B296" s="16" t="str">
        <f aca="false">TEXT(A296,"ddd")</f>
        <v>Thu</v>
      </c>
      <c r="C296" s="10" t="s">
        <v>184</v>
      </c>
      <c r="D296" s="16" t="str">
        <f aca="false">IFERROR(INDEX('Staff Master'!$B$5:$B$24,MATCH(C296,'Staff Master'!$A$5:$A$24,0)),"")</f>
        <v>Fatima Zahra</v>
      </c>
      <c r="E296" s="16" t="str">
        <f aca="false">IFERROR(INDEX('Staff Master'!$D$5:$D$24,MATCH(C296,'Staff Master'!$A$5:$A$24,0)),"")</f>
        <v>Reception</v>
      </c>
      <c r="F296" s="16" t="str">
        <f aca="false">IFERROR(INDEX('Staff Master'!$E$5:$E$24,MATCH(C296,'Staff Master'!$A$5:$A$24,0)),"")</f>
        <v>Receptionist</v>
      </c>
      <c r="G296" s="10" t="s">
        <v>102</v>
      </c>
      <c r="H296" s="17" t="n">
        <f aca="false">IFERROR(INDEX('Shift Master'!$C$5:$C$16,MATCH(G296,'Shift Master'!$A$5:$A$16,0)),"")</f>
        <v>0</v>
      </c>
      <c r="I296" s="17" t="n">
        <f aca="false">IFERROR(INDEX('Shift Master'!$D$5:$D$16,MATCH(G296,'Shift Master'!$A$5:$A$16,0)),"")</f>
        <v>0</v>
      </c>
      <c r="J296" s="16" t="n">
        <f aca="false">IFERROR(INDEX('Shift Master'!$E$5:$E$16,MATCH(G296,'Shift Master'!$A$5:$A$16,0)),"")</f>
        <v>0</v>
      </c>
      <c r="K296" s="16" t="n">
        <f aca="false">IFERROR(INDEX('Shift Master'!$G$5:$G$16,MATCH(G296,'Shift Master'!$A$5:$A$16,0)),0)</f>
        <v>0</v>
      </c>
      <c r="L296" s="16" t="s">
        <v>228</v>
      </c>
      <c r="M296" s="16" t="s">
        <v>229</v>
      </c>
      <c r="N296" s="16" t="str">
        <f aca="false">IF(COUNTIFS('Staffing Coverage'!$A$5:$A$12,E296,'Staffing Coverage'!$B$5:$B$12,G296)=0,"",IF(COUNTIFS($A$5:$A$10004,A296,$E$5:$E$10004,E296,$G$5:$G$10004,G296)&lt;INDEX('Staffing Coverage'!$C$5:$C$12,MATCH(1,('Staffing Coverage'!$A$5:$A$12=E296)*('Staffing Coverage'!$B$5:$B$12=G296),0)),"SHORT","OK"))</f>
        <v/>
      </c>
    </row>
    <row r="297" customFormat="false" ht="15" hidden="false" customHeight="false" outlineLevel="0" collapsed="false">
      <c r="A297" s="15" t="n">
        <v>46310</v>
      </c>
      <c r="B297" s="16" t="str">
        <f aca="false">TEXT(A297,"ddd")</f>
        <v>Thu</v>
      </c>
      <c r="C297" s="10" t="s">
        <v>188</v>
      </c>
      <c r="D297" s="16" t="str">
        <f aca="false">IFERROR(INDEX('Staff Master'!$B$5:$B$24,MATCH(C297,'Staff Master'!$A$5:$A$24,0)),"")</f>
        <v>Ana Reyes</v>
      </c>
      <c r="E297" s="16" t="str">
        <f aca="false">IFERROR(INDEX('Staff Master'!$D$5:$D$24,MATCH(C297,'Staff Master'!$A$5:$A$24,0)),"")</f>
        <v>Dental</v>
      </c>
      <c r="F297" s="16" t="str">
        <f aca="false">IFERROR(INDEX('Staff Master'!$E$5:$E$24,MATCH(C297,'Staff Master'!$A$5:$A$24,0)),"")</f>
        <v>Dental Assistant</v>
      </c>
      <c r="G297" s="10" t="s">
        <v>87</v>
      </c>
      <c r="H297" s="17" t="n">
        <f aca="false">IFERROR(INDEX('Shift Master'!$C$5:$C$16,MATCH(G297,'Shift Master'!$A$5:$A$16,0)),"")</f>
        <v>0.333333333333333</v>
      </c>
      <c r="I297" s="17" t="n">
        <f aca="false">IFERROR(INDEX('Shift Master'!$D$5:$D$16,MATCH(G297,'Shift Master'!$A$5:$A$16,0)),"")</f>
        <v>0.708333333333333</v>
      </c>
      <c r="J297" s="16" t="n">
        <f aca="false">IFERROR(INDEX('Shift Master'!$E$5:$E$16,MATCH(G297,'Shift Master'!$A$5:$A$16,0)),"")</f>
        <v>60</v>
      </c>
      <c r="K297" s="16" t="n">
        <f aca="false">IFERROR(INDEX('Shift Master'!$G$5:$G$16,MATCH(G297,'Shift Master'!$A$5:$A$16,0)),0)</f>
        <v>8</v>
      </c>
      <c r="L297" s="16" t="s">
        <v>228</v>
      </c>
      <c r="M297" s="16" t="s">
        <v>229</v>
      </c>
      <c r="N297" s="16" t="str">
        <f aca="false">IF(COUNTIFS('Staffing Coverage'!$A$5:$A$12,E297,'Staffing Coverage'!$B$5:$B$12,G297)=0,"",IF(COUNTIFS($A$5:$A$10004,A297,$E$5:$E$10004,E297,$G$5:$G$10004,G297)&lt;INDEX('Staffing Coverage'!$C$5:$C$12,MATCH(1,('Staffing Coverage'!$A$5:$A$12=E297)*('Staffing Coverage'!$B$5:$B$12=G297),0)),"SHORT","OK"))</f>
        <v>OK</v>
      </c>
    </row>
    <row r="298" customFormat="false" ht="15" hidden="false" customHeight="false" outlineLevel="0" collapsed="false">
      <c r="A298" s="15" t="n">
        <v>46310</v>
      </c>
      <c r="B298" s="16" t="str">
        <f aca="false">TEXT(A298,"ddd")</f>
        <v>Thu</v>
      </c>
      <c r="C298" s="10" t="s">
        <v>192</v>
      </c>
      <c r="D298" s="16" t="str">
        <f aca="false">IFERROR(INDEX('Staff Master'!$B$5:$B$24,MATCH(C298,'Staff Master'!$A$5:$A$24,0)),"")</f>
        <v>Noor Hassan</v>
      </c>
      <c r="E298" s="16" t="str">
        <f aca="false">IFERROR(INDEX('Staff Master'!$D$5:$D$24,MATCH(C298,'Staff Master'!$A$5:$A$24,0)),"")</f>
        <v>Dental</v>
      </c>
      <c r="F298" s="16" t="str">
        <f aca="false">IFERROR(INDEX('Staff Master'!$E$5:$E$24,MATCH(C298,'Staff Master'!$A$5:$A$24,0)),"")</f>
        <v>Dental Assistant</v>
      </c>
      <c r="G298" s="10" t="s">
        <v>90</v>
      </c>
      <c r="H298" s="17" t="n">
        <f aca="false">IFERROR(INDEX('Shift Master'!$C$5:$C$16,MATCH(G298,'Shift Master'!$A$5:$A$16,0)),"")</f>
        <v>0.375</v>
      </c>
      <c r="I298" s="17" t="n">
        <f aca="false">IFERROR(INDEX('Shift Master'!$D$5:$D$16,MATCH(G298,'Shift Master'!$A$5:$A$16,0)),"")</f>
        <v>0.75</v>
      </c>
      <c r="J298" s="16" t="n">
        <f aca="false">IFERROR(INDEX('Shift Master'!$E$5:$E$16,MATCH(G298,'Shift Master'!$A$5:$A$16,0)),"")</f>
        <v>60</v>
      </c>
      <c r="K298" s="16" t="n">
        <f aca="false">IFERROR(INDEX('Shift Master'!$G$5:$G$16,MATCH(G298,'Shift Master'!$A$5:$A$16,0)),0)</f>
        <v>8</v>
      </c>
      <c r="L298" s="16" t="s">
        <v>228</v>
      </c>
      <c r="M298" s="16" t="s">
        <v>229</v>
      </c>
      <c r="N298" s="16" t="str">
        <f aca="false">IF(COUNTIFS('Staffing Coverage'!$A$5:$A$12,E298,'Staffing Coverage'!$B$5:$B$12,G298)=0,"",IF(COUNTIFS($A$5:$A$10004,A298,$E$5:$E$10004,E298,$G$5:$G$10004,G298)&lt;INDEX('Staffing Coverage'!$C$5:$C$12,MATCH(1,('Staffing Coverage'!$A$5:$A$12=E298)*('Staffing Coverage'!$B$5:$B$12=G298),0)),"SHORT","OK"))</f>
        <v/>
      </c>
    </row>
    <row r="299" customFormat="false" ht="15" hidden="false" customHeight="false" outlineLevel="0" collapsed="false">
      <c r="A299" s="15" t="n">
        <v>46310</v>
      </c>
      <c r="B299" s="16" t="str">
        <f aca="false">TEXT(A299,"ddd")</f>
        <v>Thu</v>
      </c>
      <c r="C299" s="10" t="s">
        <v>196</v>
      </c>
      <c r="D299" s="16" t="str">
        <f aca="false">IFERROR(INDEX('Staff Master'!$B$5:$B$24,MATCH(C299,'Staff Master'!$A$5:$A$24,0)),"")</f>
        <v>Karan Mehta</v>
      </c>
      <c r="E299" s="16" t="str">
        <f aca="false">IFERROR(INDEX('Staff Master'!$D$5:$D$24,MATCH(C299,'Staff Master'!$A$5:$A$24,0)),"")</f>
        <v>Laser</v>
      </c>
      <c r="F299" s="16" t="str">
        <f aca="false">IFERROR(INDEX('Staff Master'!$E$5:$E$24,MATCH(C299,'Staff Master'!$A$5:$A$24,0)),"")</f>
        <v>Laser Technician</v>
      </c>
      <c r="G299" s="10" t="s">
        <v>90</v>
      </c>
      <c r="H299" s="17" t="n">
        <f aca="false">IFERROR(INDEX('Shift Master'!$C$5:$C$16,MATCH(G299,'Shift Master'!$A$5:$A$16,0)),"")</f>
        <v>0.375</v>
      </c>
      <c r="I299" s="17" t="n">
        <f aca="false">IFERROR(INDEX('Shift Master'!$D$5:$D$16,MATCH(G299,'Shift Master'!$A$5:$A$16,0)),"")</f>
        <v>0.75</v>
      </c>
      <c r="J299" s="16" t="n">
        <f aca="false">IFERROR(INDEX('Shift Master'!$E$5:$E$16,MATCH(G299,'Shift Master'!$A$5:$A$16,0)),"")</f>
        <v>60</v>
      </c>
      <c r="K299" s="16" t="n">
        <f aca="false">IFERROR(INDEX('Shift Master'!$G$5:$G$16,MATCH(G299,'Shift Master'!$A$5:$A$16,0)),0)</f>
        <v>8</v>
      </c>
      <c r="L299" s="16" t="s">
        <v>228</v>
      </c>
      <c r="M299" s="16" t="s">
        <v>229</v>
      </c>
      <c r="N299" s="16" t="str">
        <f aca="false">IF(COUNTIFS('Staffing Coverage'!$A$5:$A$12,E299,'Staffing Coverage'!$B$5:$B$12,G299)=0,"",IF(COUNTIFS($A$5:$A$10004,A299,$E$5:$E$10004,E299,$G$5:$G$10004,G299)&lt;INDEX('Staffing Coverage'!$C$5:$C$12,MATCH(1,('Staffing Coverage'!$A$5:$A$12=E299)*('Staffing Coverage'!$B$5:$B$12=G299),0)),"SHORT","OK"))</f>
        <v/>
      </c>
    </row>
    <row r="300" customFormat="false" ht="15" hidden="false" customHeight="false" outlineLevel="0" collapsed="false">
      <c r="A300" s="15" t="n">
        <v>46310</v>
      </c>
      <c r="B300" s="16" t="str">
        <f aca="false">TEXT(A300,"ddd")</f>
        <v>Thu</v>
      </c>
      <c r="C300" s="10" t="s">
        <v>200</v>
      </c>
      <c r="D300" s="16" t="str">
        <f aca="false">IFERROR(INDEX('Staff Master'!$B$5:$B$24,MATCH(C300,'Staff Master'!$A$5:$A$24,0)),"")</f>
        <v>Imran Sheikh</v>
      </c>
      <c r="E300" s="16" t="str">
        <f aca="false">IFERROR(INDEX('Staff Master'!$D$5:$D$24,MATCH(C300,'Staff Master'!$A$5:$A$24,0)),"")</f>
        <v>Dental Laboratory</v>
      </c>
      <c r="F300" s="16" t="str">
        <f aca="false">IFERROR(INDEX('Staff Master'!$E$5:$E$24,MATCH(C300,'Staff Master'!$A$5:$A$24,0)),"")</f>
        <v>Dental Technician</v>
      </c>
      <c r="G300" s="10" t="s">
        <v>87</v>
      </c>
      <c r="H300" s="17" t="n">
        <f aca="false">IFERROR(INDEX('Shift Master'!$C$5:$C$16,MATCH(G300,'Shift Master'!$A$5:$A$16,0)),"")</f>
        <v>0.333333333333333</v>
      </c>
      <c r="I300" s="17" t="n">
        <f aca="false">IFERROR(INDEX('Shift Master'!$D$5:$D$16,MATCH(G300,'Shift Master'!$A$5:$A$16,0)),"")</f>
        <v>0.708333333333333</v>
      </c>
      <c r="J300" s="16" t="n">
        <f aca="false">IFERROR(INDEX('Shift Master'!$E$5:$E$16,MATCH(G300,'Shift Master'!$A$5:$A$16,0)),"")</f>
        <v>60</v>
      </c>
      <c r="K300" s="16" t="n">
        <f aca="false">IFERROR(INDEX('Shift Master'!$G$5:$G$16,MATCH(G300,'Shift Master'!$A$5:$A$16,0)),0)</f>
        <v>8</v>
      </c>
      <c r="L300" s="16" t="s">
        <v>228</v>
      </c>
      <c r="M300" s="16" t="s">
        <v>229</v>
      </c>
      <c r="N300" s="16" t="str">
        <f aca="false">IF(COUNTIFS('Staffing Coverage'!$A$5:$A$12,E300,'Staffing Coverage'!$B$5:$B$12,G300)=0,"",IF(COUNTIFS($A$5:$A$10004,A300,$E$5:$E$10004,E300,$G$5:$G$10004,G300)&lt;INDEX('Staffing Coverage'!$C$5:$C$12,MATCH(1,('Staffing Coverage'!$A$5:$A$12=E300)*('Staffing Coverage'!$B$5:$B$12=G300),0)),"SHORT","OK"))</f>
        <v/>
      </c>
    </row>
    <row r="301" customFormat="false" ht="15" hidden="false" customHeight="false" outlineLevel="0" collapsed="false">
      <c r="A301" s="15" t="n">
        <v>46310</v>
      </c>
      <c r="B301" s="16" t="str">
        <f aca="false">TEXT(A301,"ddd")</f>
        <v>Thu</v>
      </c>
      <c r="C301" s="10" t="s">
        <v>204</v>
      </c>
      <c r="D301" s="16" t="str">
        <f aca="false">IFERROR(INDEX('Staff Master'!$B$5:$B$24,MATCH(C301,'Staff Master'!$A$5:$A$24,0)),"")</f>
        <v>Josephine Cruz</v>
      </c>
      <c r="E301" s="16" t="str">
        <f aca="false">IFERROR(INDEX('Staff Master'!$D$5:$D$24,MATCH(C301,'Staff Master'!$A$5:$A$24,0)),"")</f>
        <v>CSSD</v>
      </c>
      <c r="F301" s="16" t="str">
        <f aca="false">IFERROR(INDEX('Staff Master'!$E$5:$E$24,MATCH(C301,'Staff Master'!$A$5:$A$24,0)),"")</f>
        <v>CSSD Technician</v>
      </c>
      <c r="G301" s="10" t="s">
        <v>87</v>
      </c>
      <c r="H301" s="17" t="n">
        <f aca="false">IFERROR(INDEX('Shift Master'!$C$5:$C$16,MATCH(G301,'Shift Master'!$A$5:$A$16,0)),"")</f>
        <v>0.333333333333333</v>
      </c>
      <c r="I301" s="17" t="n">
        <f aca="false">IFERROR(INDEX('Shift Master'!$D$5:$D$16,MATCH(G301,'Shift Master'!$A$5:$A$16,0)),"")</f>
        <v>0.708333333333333</v>
      </c>
      <c r="J301" s="16" t="n">
        <f aca="false">IFERROR(INDEX('Shift Master'!$E$5:$E$16,MATCH(G301,'Shift Master'!$A$5:$A$16,0)),"")</f>
        <v>60</v>
      </c>
      <c r="K301" s="16" t="n">
        <f aca="false">IFERROR(INDEX('Shift Master'!$G$5:$G$16,MATCH(G301,'Shift Master'!$A$5:$A$16,0)),0)</f>
        <v>8</v>
      </c>
      <c r="L301" s="16" t="s">
        <v>228</v>
      </c>
      <c r="M301" s="16" t="s">
        <v>229</v>
      </c>
      <c r="N301" s="16" t="str">
        <f aca="false">IF(COUNTIFS('Staffing Coverage'!$A$5:$A$12,E301,'Staffing Coverage'!$B$5:$B$12,G301)=0,"",IF(COUNTIFS($A$5:$A$10004,A301,$E$5:$E$10004,E301,$G$5:$G$10004,G301)&lt;INDEX('Staffing Coverage'!$C$5:$C$12,MATCH(1,('Staffing Coverage'!$A$5:$A$12=E301)*('Staffing Coverage'!$B$5:$B$12=G301),0)),"SHORT","OK"))</f>
        <v>OK</v>
      </c>
    </row>
    <row r="302" customFormat="false" ht="15" hidden="false" customHeight="false" outlineLevel="0" collapsed="false">
      <c r="A302" s="15" t="n">
        <v>46310</v>
      </c>
      <c r="B302" s="16" t="str">
        <f aca="false">TEXT(A302,"ddd")</f>
        <v>Thu</v>
      </c>
      <c r="C302" s="10" t="s">
        <v>208</v>
      </c>
      <c r="D302" s="16" t="str">
        <f aca="false">IFERROR(INDEX('Staff Master'!$B$5:$B$24,MATCH(C302,'Staff Master'!$A$5:$A$24,0)),"")</f>
        <v>Rosalyn Tan</v>
      </c>
      <c r="E302" s="16" t="str">
        <f aca="false">IFERROR(INDEX('Staff Master'!$D$5:$D$24,MATCH(C302,'Staff Master'!$A$5:$A$24,0)),"")</f>
        <v>Cleaning</v>
      </c>
      <c r="F302" s="16" t="str">
        <f aca="false">IFERROR(INDEX('Staff Master'!$E$5:$E$24,MATCH(C302,'Staff Master'!$A$5:$A$24,0)),"")</f>
        <v>Cleaner</v>
      </c>
      <c r="G302" s="10" t="s">
        <v>87</v>
      </c>
      <c r="H302" s="17" t="n">
        <f aca="false">IFERROR(INDEX('Shift Master'!$C$5:$C$16,MATCH(G302,'Shift Master'!$A$5:$A$16,0)),"")</f>
        <v>0.333333333333333</v>
      </c>
      <c r="I302" s="17" t="n">
        <f aca="false">IFERROR(INDEX('Shift Master'!$D$5:$D$16,MATCH(G302,'Shift Master'!$A$5:$A$16,0)),"")</f>
        <v>0.708333333333333</v>
      </c>
      <c r="J302" s="16" t="n">
        <f aca="false">IFERROR(INDEX('Shift Master'!$E$5:$E$16,MATCH(G302,'Shift Master'!$A$5:$A$16,0)),"")</f>
        <v>60</v>
      </c>
      <c r="K302" s="16" t="n">
        <f aca="false">IFERROR(INDEX('Shift Master'!$G$5:$G$16,MATCH(G302,'Shift Master'!$A$5:$A$16,0)),0)</f>
        <v>8</v>
      </c>
      <c r="L302" s="16" t="s">
        <v>228</v>
      </c>
      <c r="M302" s="16" t="s">
        <v>229</v>
      </c>
      <c r="N302" s="16" t="str">
        <f aca="false">IF(COUNTIFS('Staffing Coverage'!$A$5:$A$12,E302,'Staffing Coverage'!$B$5:$B$12,G302)=0,"",IF(COUNTIFS($A$5:$A$10004,A302,$E$5:$E$10004,E302,$G$5:$G$10004,G302)&lt;INDEX('Staffing Coverage'!$C$5:$C$12,MATCH(1,('Staffing Coverage'!$A$5:$A$12=E302)*('Staffing Coverage'!$B$5:$B$12=G302),0)),"SHORT","OK"))</f>
        <v>OK</v>
      </c>
    </row>
    <row r="303" customFormat="false" ht="15" hidden="false" customHeight="false" outlineLevel="0" collapsed="false">
      <c r="A303" s="15" t="n">
        <v>46310</v>
      </c>
      <c r="B303" s="16" t="str">
        <f aca="false">TEXT(A303,"ddd")</f>
        <v>Thu</v>
      </c>
      <c r="C303" s="10" t="s">
        <v>212</v>
      </c>
      <c r="D303" s="16" t="str">
        <f aca="false">IFERROR(INDEX('Staff Master'!$B$5:$B$24,MATCH(C303,'Staff Master'!$A$5:$A$24,0)),"")</f>
        <v>Hassan Baig</v>
      </c>
      <c r="E303" s="16" t="str">
        <f aca="false">IFERROR(INDEX('Staff Master'!$D$5:$D$24,MATCH(C303,'Staff Master'!$A$5:$A$24,0)),"")</f>
        <v>Facilities</v>
      </c>
      <c r="F303" s="16" t="str">
        <f aca="false">IFERROR(INDEX('Staff Master'!$E$5:$E$24,MATCH(C303,'Staff Master'!$A$5:$A$24,0)),"")</f>
        <v>Facility Manager</v>
      </c>
      <c r="G303" s="10" t="s">
        <v>90</v>
      </c>
      <c r="H303" s="17" t="n">
        <f aca="false">IFERROR(INDEX('Shift Master'!$C$5:$C$16,MATCH(G303,'Shift Master'!$A$5:$A$16,0)),"")</f>
        <v>0.375</v>
      </c>
      <c r="I303" s="17" t="n">
        <f aca="false">IFERROR(INDEX('Shift Master'!$D$5:$D$16,MATCH(G303,'Shift Master'!$A$5:$A$16,0)),"")</f>
        <v>0.75</v>
      </c>
      <c r="J303" s="16" t="n">
        <f aca="false">IFERROR(INDEX('Shift Master'!$E$5:$E$16,MATCH(G303,'Shift Master'!$A$5:$A$16,0)),"")</f>
        <v>60</v>
      </c>
      <c r="K303" s="16" t="n">
        <f aca="false">IFERROR(INDEX('Shift Master'!$G$5:$G$16,MATCH(G303,'Shift Master'!$A$5:$A$16,0)),0)</f>
        <v>8</v>
      </c>
      <c r="L303" s="16" t="s">
        <v>228</v>
      </c>
      <c r="M303" s="16" t="s">
        <v>229</v>
      </c>
      <c r="N303" s="16" t="str">
        <f aca="false">IF(COUNTIFS('Staffing Coverage'!$A$5:$A$12,E303,'Staffing Coverage'!$B$5:$B$12,G303)=0,"",IF(COUNTIFS($A$5:$A$10004,A303,$E$5:$E$10004,E303,$G$5:$G$10004,G303)&lt;INDEX('Staffing Coverage'!$C$5:$C$12,MATCH(1,('Staffing Coverage'!$A$5:$A$12=E303)*('Staffing Coverage'!$B$5:$B$12=G303),0)),"SHORT","OK"))</f>
        <v/>
      </c>
    </row>
    <row r="304" customFormat="false" ht="15" hidden="false" customHeight="false" outlineLevel="0" collapsed="false">
      <c r="A304" s="15" t="n">
        <v>46310</v>
      </c>
      <c r="B304" s="16" t="str">
        <f aca="false">TEXT(A304,"ddd")</f>
        <v>Thu</v>
      </c>
      <c r="C304" s="10" t="s">
        <v>178</v>
      </c>
      <c r="D304" s="16" t="str">
        <f aca="false">IFERROR(INDEX('Staff Master'!$B$5:$B$24,MATCH(C304,'Staff Master'!$A$5:$A$24,0)),"")</f>
        <v>Meera Pillai</v>
      </c>
      <c r="E304" s="16" t="str">
        <f aca="false">IFERROR(INDEX('Staff Master'!$D$5:$D$24,MATCH(C304,'Staff Master'!$A$5:$A$24,0)),"")</f>
        <v>HR</v>
      </c>
      <c r="F304" s="16" t="str">
        <f aca="false">IFERROR(INDEX('Staff Master'!$E$5:$E$24,MATCH(C304,'Staff Master'!$A$5:$A$24,0)),"")</f>
        <v>HR Executive</v>
      </c>
      <c r="G304" s="10" t="s">
        <v>90</v>
      </c>
      <c r="H304" s="17" t="n">
        <f aca="false">IFERROR(INDEX('Shift Master'!$C$5:$C$16,MATCH(G304,'Shift Master'!$A$5:$A$16,0)),"")</f>
        <v>0.375</v>
      </c>
      <c r="I304" s="17" t="n">
        <f aca="false">IFERROR(INDEX('Shift Master'!$D$5:$D$16,MATCH(G304,'Shift Master'!$A$5:$A$16,0)),"")</f>
        <v>0.75</v>
      </c>
      <c r="J304" s="16" t="n">
        <f aca="false">IFERROR(INDEX('Shift Master'!$E$5:$E$16,MATCH(G304,'Shift Master'!$A$5:$A$16,0)),"")</f>
        <v>60</v>
      </c>
      <c r="K304" s="16" t="n">
        <f aca="false">IFERROR(INDEX('Shift Master'!$G$5:$G$16,MATCH(G304,'Shift Master'!$A$5:$A$16,0)),0)</f>
        <v>8</v>
      </c>
      <c r="L304" s="16" t="s">
        <v>228</v>
      </c>
      <c r="M304" s="16" t="s">
        <v>229</v>
      </c>
      <c r="N304" s="16" t="str">
        <f aca="false">IF(COUNTIFS('Staffing Coverage'!$A$5:$A$12,E304,'Staffing Coverage'!$B$5:$B$12,G304)=0,"",IF(COUNTIFS($A$5:$A$10004,A304,$E$5:$E$10004,E304,$G$5:$G$10004,G304)&lt;INDEX('Staffing Coverage'!$C$5:$C$12,MATCH(1,('Staffing Coverage'!$A$5:$A$12=E304)*('Staffing Coverage'!$B$5:$B$12=G304),0)),"SHORT","OK"))</f>
        <v/>
      </c>
    </row>
    <row r="305" customFormat="false" ht="15" hidden="false" customHeight="false" outlineLevel="0" collapsed="false">
      <c r="A305" s="15" t="n">
        <v>46311</v>
      </c>
      <c r="B305" s="16" t="str">
        <f aca="false">TEXT(A305,"ddd")</f>
        <v>Fri</v>
      </c>
      <c r="C305" s="10" t="s">
        <v>128</v>
      </c>
      <c r="D305" s="16" t="str">
        <f aca="false">IFERROR(INDEX('Staff Master'!$B$5:$B$24,MATCH(C305,'Staff Master'!$A$5:$A$24,0)),"")</f>
        <v>Rashid Al Nuaimi</v>
      </c>
      <c r="E305" s="16" t="str">
        <f aca="false">IFERROR(INDEX('Staff Master'!$D$5:$D$24,MATCH(C305,'Staff Master'!$A$5:$A$24,0)),"")</f>
        <v>Management</v>
      </c>
      <c r="F305" s="16" t="str">
        <f aca="false">IFERROR(INDEX('Staff Master'!$E$5:$E$24,MATCH(C305,'Staff Master'!$A$5:$A$24,0)),"")</f>
        <v>CEO</v>
      </c>
      <c r="G305" s="10" t="s">
        <v>90</v>
      </c>
      <c r="H305" s="17" t="n">
        <f aca="false">IFERROR(INDEX('Shift Master'!$C$5:$C$16,MATCH(G305,'Shift Master'!$A$5:$A$16,0)),"")</f>
        <v>0.375</v>
      </c>
      <c r="I305" s="17" t="n">
        <f aca="false">IFERROR(INDEX('Shift Master'!$D$5:$D$16,MATCH(G305,'Shift Master'!$A$5:$A$16,0)),"")</f>
        <v>0.75</v>
      </c>
      <c r="J305" s="16" t="n">
        <f aca="false">IFERROR(INDEX('Shift Master'!$E$5:$E$16,MATCH(G305,'Shift Master'!$A$5:$A$16,0)),"")</f>
        <v>60</v>
      </c>
      <c r="K305" s="16" t="n">
        <f aca="false">IFERROR(INDEX('Shift Master'!$G$5:$G$16,MATCH(G305,'Shift Master'!$A$5:$A$16,0)),0)</f>
        <v>8</v>
      </c>
      <c r="L305" s="16" t="s">
        <v>228</v>
      </c>
      <c r="M305" s="16" t="s">
        <v>229</v>
      </c>
      <c r="N305" s="16" t="str">
        <f aca="false">IF(COUNTIFS('Staffing Coverage'!$A$5:$A$12,E305,'Staffing Coverage'!$B$5:$B$12,G305)=0,"",IF(COUNTIFS($A$5:$A$10004,A305,$E$5:$E$10004,E305,$G$5:$G$10004,G305)&lt;INDEX('Staffing Coverage'!$C$5:$C$12,MATCH(1,('Staffing Coverage'!$A$5:$A$12=E305)*('Staffing Coverage'!$B$5:$B$12=G305),0)),"SHORT","OK"))</f>
        <v/>
      </c>
    </row>
    <row r="306" customFormat="false" ht="15" hidden="false" customHeight="false" outlineLevel="0" collapsed="false">
      <c r="A306" s="15" t="n">
        <v>46311</v>
      </c>
      <c r="B306" s="16" t="str">
        <f aca="false">TEXT(A306,"ddd")</f>
        <v>Fri</v>
      </c>
      <c r="C306" s="10" t="s">
        <v>137</v>
      </c>
      <c r="D306" s="16" t="str">
        <f aca="false">IFERROR(INDEX('Staff Master'!$B$5:$B$24,MATCH(C306,'Staff Master'!$A$5:$A$24,0)),"")</f>
        <v>Dr. Sara Haddad</v>
      </c>
      <c r="E306" s="16" t="str">
        <f aca="false">IFERROR(INDEX('Staff Master'!$D$5:$D$24,MATCH(C306,'Staff Master'!$A$5:$A$24,0)),"")</f>
        <v>General Practice</v>
      </c>
      <c r="F306" s="16" t="str">
        <f aca="false">IFERROR(INDEX('Staff Master'!$E$5:$E$24,MATCH(C306,'Staff Master'!$A$5:$A$24,0)),"")</f>
        <v>Medical Director</v>
      </c>
      <c r="G306" s="10" t="s">
        <v>97</v>
      </c>
      <c r="H306" s="17" t="n">
        <f aca="false">IFERROR(INDEX('Shift Master'!$C$5:$C$16,MATCH(G306,'Shift Master'!$A$5:$A$16,0)),"")</f>
        <v>0</v>
      </c>
      <c r="I306" s="17" t="n">
        <f aca="false">IFERROR(INDEX('Shift Master'!$D$5:$D$16,MATCH(G306,'Shift Master'!$A$5:$A$16,0)),"")</f>
        <v>0</v>
      </c>
      <c r="J306" s="16" t="n">
        <f aca="false">IFERROR(INDEX('Shift Master'!$E$5:$E$16,MATCH(G306,'Shift Master'!$A$5:$A$16,0)),"")</f>
        <v>0</v>
      </c>
      <c r="K306" s="16" t="n">
        <f aca="false">IFERROR(INDEX('Shift Master'!$G$5:$G$16,MATCH(G306,'Shift Master'!$A$5:$A$16,0)),0)</f>
        <v>0</v>
      </c>
      <c r="L306" s="16" t="s">
        <v>228</v>
      </c>
      <c r="M306" s="16" t="s">
        <v>229</v>
      </c>
      <c r="N306" s="16" t="str">
        <f aca="false">IF(COUNTIFS('Staffing Coverage'!$A$5:$A$12,E306,'Staffing Coverage'!$B$5:$B$12,G306)=0,"",IF(COUNTIFS($A$5:$A$10004,A306,$E$5:$E$10004,E306,$G$5:$G$10004,G306)&lt;INDEX('Staffing Coverage'!$C$5:$C$12,MATCH(1,('Staffing Coverage'!$A$5:$A$12=E306)*('Staffing Coverage'!$B$5:$B$12=G306),0)),"SHORT","OK"))</f>
        <v/>
      </c>
    </row>
    <row r="307" customFormat="false" ht="15" hidden="false" customHeight="false" outlineLevel="0" collapsed="false">
      <c r="A307" s="15" t="n">
        <v>46311</v>
      </c>
      <c r="B307" s="16" t="str">
        <f aca="false">TEXT(A307,"ddd")</f>
        <v>Fri</v>
      </c>
      <c r="C307" s="10" t="s">
        <v>142</v>
      </c>
      <c r="D307" s="16" t="str">
        <f aca="false">IFERROR(INDEX('Staff Master'!$B$5:$B$24,MATCH(C307,'Staff Master'!$A$5:$A$24,0)),"")</f>
        <v>Dr. Omar Khalil</v>
      </c>
      <c r="E307" s="16" t="str">
        <f aca="false">IFERROR(INDEX('Staff Master'!$D$5:$D$24,MATCH(C307,'Staff Master'!$A$5:$A$24,0)),"")</f>
        <v>General Practice</v>
      </c>
      <c r="F307" s="16" t="str">
        <f aca="false">IFERROR(INDEX('Staff Master'!$E$5:$E$24,MATCH(C307,'Staff Master'!$A$5:$A$24,0)),"")</f>
        <v>Doctor</v>
      </c>
      <c r="G307" s="10" t="s">
        <v>96</v>
      </c>
      <c r="H307" s="17" t="n">
        <f aca="false">IFERROR(INDEX('Shift Master'!$C$5:$C$16,MATCH(G307,'Shift Master'!$A$5:$A$16,0)),"")</f>
        <v>0.375</v>
      </c>
      <c r="I307" s="17" t="n">
        <f aca="false">IFERROR(INDEX('Shift Master'!$D$5:$D$16,MATCH(G307,'Shift Master'!$A$5:$A$16,0)),"")</f>
        <v>0.708333333333333</v>
      </c>
      <c r="J307" s="16" t="n">
        <f aca="false">IFERROR(INDEX('Shift Master'!$E$5:$E$16,MATCH(G307,'Shift Master'!$A$5:$A$16,0)),"")</f>
        <v>60</v>
      </c>
      <c r="K307" s="16" t="n">
        <f aca="false">IFERROR(INDEX('Shift Master'!$G$5:$G$16,MATCH(G307,'Shift Master'!$A$5:$A$16,0)),0)</f>
        <v>7</v>
      </c>
      <c r="L307" s="16" t="s">
        <v>228</v>
      </c>
      <c r="M307" s="16" t="s">
        <v>229</v>
      </c>
      <c r="N307" s="16" t="str">
        <f aca="false">IF(COUNTIFS('Staffing Coverage'!$A$5:$A$12,E307,'Staffing Coverage'!$B$5:$B$12,G307)=0,"",IF(COUNTIFS($A$5:$A$10004,A307,$E$5:$E$10004,E307,$G$5:$G$10004,G307)&lt;INDEX('Staffing Coverage'!$C$5:$C$12,MATCH(1,('Staffing Coverage'!$A$5:$A$12=E307)*('Staffing Coverage'!$B$5:$B$12=G307),0)),"SHORT","OK"))</f>
        <v/>
      </c>
    </row>
    <row r="308" customFormat="false" ht="15" hidden="false" customHeight="false" outlineLevel="0" collapsed="false">
      <c r="A308" s="15" t="n">
        <v>46311</v>
      </c>
      <c r="B308" s="16" t="str">
        <f aca="false">TEXT(A308,"ddd")</f>
        <v>Fri</v>
      </c>
      <c r="C308" s="10" t="s">
        <v>146</v>
      </c>
      <c r="D308" s="16" t="str">
        <f aca="false">IFERROR(INDEX('Staff Master'!$B$5:$B$24,MATCH(C308,'Staff Master'!$A$5:$A$24,0)),"")</f>
        <v>Dr. Lina Abboud</v>
      </c>
      <c r="E308" s="16" t="str">
        <f aca="false">IFERROR(INDEX('Staff Master'!$D$5:$D$24,MATCH(C308,'Staff Master'!$A$5:$A$24,0)),"")</f>
        <v>Dental</v>
      </c>
      <c r="F308" s="16" t="str">
        <f aca="false">IFERROR(INDEX('Staff Master'!$E$5:$E$24,MATCH(C308,'Staff Master'!$A$5:$A$24,0)),"")</f>
        <v>Dentist</v>
      </c>
      <c r="G308" s="10" t="s">
        <v>97</v>
      </c>
      <c r="H308" s="17" t="n">
        <f aca="false">IFERROR(INDEX('Shift Master'!$C$5:$C$16,MATCH(G308,'Shift Master'!$A$5:$A$16,0)),"")</f>
        <v>0</v>
      </c>
      <c r="I308" s="17" t="n">
        <f aca="false">IFERROR(INDEX('Shift Master'!$D$5:$D$16,MATCH(G308,'Shift Master'!$A$5:$A$16,0)),"")</f>
        <v>0</v>
      </c>
      <c r="J308" s="16" t="n">
        <f aca="false">IFERROR(INDEX('Shift Master'!$E$5:$E$16,MATCH(G308,'Shift Master'!$A$5:$A$16,0)),"")</f>
        <v>0</v>
      </c>
      <c r="K308" s="16" t="n">
        <f aca="false">IFERROR(INDEX('Shift Master'!$G$5:$G$16,MATCH(G308,'Shift Master'!$A$5:$A$16,0)),0)</f>
        <v>0</v>
      </c>
      <c r="L308" s="16" t="s">
        <v>228</v>
      </c>
      <c r="M308" s="16" t="s">
        <v>229</v>
      </c>
      <c r="N308" s="16" t="str">
        <f aca="false">IF(COUNTIFS('Staffing Coverage'!$A$5:$A$12,E308,'Staffing Coverage'!$B$5:$B$12,G308)=0,"",IF(COUNTIFS($A$5:$A$10004,A308,$E$5:$E$10004,E308,$G$5:$G$10004,G308)&lt;INDEX('Staffing Coverage'!$C$5:$C$12,MATCH(1,('Staffing Coverage'!$A$5:$A$12=E308)*('Staffing Coverage'!$B$5:$B$12=G308),0)),"SHORT","OK"))</f>
        <v/>
      </c>
    </row>
    <row r="309" customFormat="false" ht="15" hidden="false" customHeight="false" outlineLevel="0" collapsed="false">
      <c r="A309" s="15" t="n">
        <v>46311</v>
      </c>
      <c r="B309" s="16" t="str">
        <f aca="false">TEXT(A309,"ddd")</f>
        <v>Fri</v>
      </c>
      <c r="C309" s="10" t="s">
        <v>150</v>
      </c>
      <c r="D309" s="16" t="str">
        <f aca="false">IFERROR(INDEX('Staff Master'!$B$5:$B$24,MATCH(C309,'Staff Master'!$A$5:$A$24,0)),"")</f>
        <v>Dr. Farah Idris</v>
      </c>
      <c r="E309" s="16" t="str">
        <f aca="false">IFERROR(INDEX('Staff Master'!$D$5:$D$24,MATCH(C309,'Staff Master'!$A$5:$A$24,0)),"")</f>
        <v>Dental</v>
      </c>
      <c r="F309" s="16" t="str">
        <f aca="false">IFERROR(INDEX('Staff Master'!$E$5:$E$24,MATCH(C309,'Staff Master'!$A$5:$A$24,0)),"")</f>
        <v>Dentist</v>
      </c>
      <c r="G309" s="10" t="s">
        <v>96</v>
      </c>
      <c r="H309" s="17" t="n">
        <f aca="false">IFERROR(INDEX('Shift Master'!$C$5:$C$16,MATCH(G309,'Shift Master'!$A$5:$A$16,0)),"")</f>
        <v>0.375</v>
      </c>
      <c r="I309" s="17" t="n">
        <f aca="false">IFERROR(INDEX('Shift Master'!$D$5:$D$16,MATCH(G309,'Shift Master'!$A$5:$A$16,0)),"")</f>
        <v>0.708333333333333</v>
      </c>
      <c r="J309" s="16" t="n">
        <f aca="false">IFERROR(INDEX('Shift Master'!$E$5:$E$16,MATCH(G309,'Shift Master'!$A$5:$A$16,0)),"")</f>
        <v>60</v>
      </c>
      <c r="K309" s="16" t="n">
        <f aca="false">IFERROR(INDEX('Shift Master'!$G$5:$G$16,MATCH(G309,'Shift Master'!$A$5:$A$16,0)),0)</f>
        <v>7</v>
      </c>
      <c r="L309" s="16" t="s">
        <v>228</v>
      </c>
      <c r="M309" s="16" t="s">
        <v>229</v>
      </c>
      <c r="N309" s="16" t="str">
        <f aca="false">IF(COUNTIFS('Staffing Coverage'!$A$5:$A$12,E309,'Staffing Coverage'!$B$5:$B$12,G309)=0,"",IF(COUNTIFS($A$5:$A$10004,A309,$E$5:$E$10004,E309,$G$5:$G$10004,G309)&lt;INDEX('Staffing Coverage'!$C$5:$C$12,MATCH(1,('Staffing Coverage'!$A$5:$A$12=E309)*('Staffing Coverage'!$B$5:$B$12=G309),0)),"SHORT","OK"))</f>
        <v/>
      </c>
    </row>
    <row r="310" customFormat="false" ht="15" hidden="false" customHeight="false" outlineLevel="0" collapsed="false">
      <c r="A310" s="15" t="n">
        <v>46311</v>
      </c>
      <c r="B310" s="16" t="str">
        <f aca="false">TEXT(A310,"ddd")</f>
        <v>Fri</v>
      </c>
      <c r="C310" s="10" t="s">
        <v>157</v>
      </c>
      <c r="D310" s="16" t="str">
        <f aca="false">IFERROR(INDEX('Staff Master'!$B$5:$B$24,MATCH(C310,'Staff Master'!$A$5:$A$24,0)),"")</f>
        <v>Dr. Youssef Nassar</v>
      </c>
      <c r="E310" s="16" t="str">
        <f aca="false">IFERROR(INDEX('Staff Master'!$D$5:$D$24,MATCH(C310,'Staff Master'!$A$5:$A$24,0)),"")</f>
        <v>General Practice</v>
      </c>
      <c r="F310" s="16" t="str">
        <f aca="false">IFERROR(INDEX('Staff Master'!$E$5:$E$24,MATCH(C310,'Staff Master'!$A$5:$A$24,0)),"")</f>
        <v>General Practitioner</v>
      </c>
      <c r="G310" s="10" t="s">
        <v>96</v>
      </c>
      <c r="H310" s="17" t="n">
        <f aca="false">IFERROR(INDEX('Shift Master'!$C$5:$C$16,MATCH(G310,'Shift Master'!$A$5:$A$16,0)),"")</f>
        <v>0.375</v>
      </c>
      <c r="I310" s="17" t="n">
        <f aca="false">IFERROR(INDEX('Shift Master'!$D$5:$D$16,MATCH(G310,'Shift Master'!$A$5:$A$16,0)),"")</f>
        <v>0.708333333333333</v>
      </c>
      <c r="J310" s="16" t="n">
        <f aca="false">IFERROR(INDEX('Shift Master'!$E$5:$E$16,MATCH(G310,'Shift Master'!$A$5:$A$16,0)),"")</f>
        <v>60</v>
      </c>
      <c r="K310" s="16" t="n">
        <f aca="false">IFERROR(INDEX('Shift Master'!$G$5:$G$16,MATCH(G310,'Shift Master'!$A$5:$A$16,0)),0)</f>
        <v>7</v>
      </c>
      <c r="L310" s="16" t="s">
        <v>228</v>
      </c>
      <c r="M310" s="16" t="s">
        <v>229</v>
      </c>
      <c r="N310" s="16" t="str">
        <f aca="false">IF(COUNTIFS('Staffing Coverage'!$A$5:$A$12,E310,'Staffing Coverage'!$B$5:$B$12,G310)=0,"",IF(COUNTIFS($A$5:$A$10004,A310,$E$5:$E$10004,E310,$G$5:$G$10004,G310)&lt;INDEX('Staffing Coverage'!$C$5:$C$12,MATCH(1,('Staffing Coverage'!$A$5:$A$12=E310)*('Staffing Coverage'!$B$5:$B$12=G310),0)),"SHORT","OK"))</f>
        <v/>
      </c>
    </row>
    <row r="311" customFormat="false" ht="15" hidden="false" customHeight="false" outlineLevel="0" collapsed="false">
      <c r="A311" s="15" t="n">
        <v>46311</v>
      </c>
      <c r="B311" s="16" t="str">
        <f aca="false">TEXT(A311,"ddd")</f>
        <v>Fri</v>
      </c>
      <c r="C311" s="10" t="s">
        <v>161</v>
      </c>
      <c r="D311" s="16" t="str">
        <f aca="false">IFERROR(INDEX('Staff Master'!$B$5:$B$24,MATCH(C311,'Staff Master'!$A$5:$A$24,0)),"")</f>
        <v>Grace Fernandez</v>
      </c>
      <c r="E311" s="16" t="str">
        <f aca="false">IFERROR(INDEX('Staff Master'!$D$5:$D$24,MATCH(C311,'Staff Master'!$A$5:$A$24,0)),"")</f>
        <v>Nursing</v>
      </c>
      <c r="F311" s="16" t="str">
        <f aca="false">IFERROR(INDEX('Staff Master'!$E$5:$E$24,MATCH(C311,'Staff Master'!$A$5:$A$24,0)),"")</f>
        <v>Nurse</v>
      </c>
      <c r="G311" s="10" t="s">
        <v>87</v>
      </c>
      <c r="H311" s="17" t="n">
        <f aca="false">IFERROR(INDEX('Shift Master'!$C$5:$C$16,MATCH(G311,'Shift Master'!$A$5:$A$16,0)),"")</f>
        <v>0.333333333333333</v>
      </c>
      <c r="I311" s="17" t="n">
        <f aca="false">IFERROR(INDEX('Shift Master'!$D$5:$D$16,MATCH(G311,'Shift Master'!$A$5:$A$16,0)),"")</f>
        <v>0.708333333333333</v>
      </c>
      <c r="J311" s="16" t="n">
        <f aca="false">IFERROR(INDEX('Shift Master'!$E$5:$E$16,MATCH(G311,'Shift Master'!$A$5:$A$16,0)),"")</f>
        <v>60</v>
      </c>
      <c r="K311" s="16" t="n">
        <f aca="false">IFERROR(INDEX('Shift Master'!$G$5:$G$16,MATCH(G311,'Shift Master'!$A$5:$A$16,0)),0)</f>
        <v>8</v>
      </c>
      <c r="L311" s="16" t="s">
        <v>228</v>
      </c>
      <c r="M311" s="16" t="s">
        <v>229</v>
      </c>
      <c r="N311" s="16" t="str">
        <f aca="false">IF(COUNTIFS('Staffing Coverage'!$A$5:$A$12,E311,'Staffing Coverage'!$B$5:$B$12,G311)=0,"",IF(COUNTIFS($A$5:$A$10004,A311,$E$5:$E$10004,E311,$G$5:$G$10004,G311)&lt;INDEX('Staffing Coverage'!$C$5:$C$12,MATCH(1,('Staffing Coverage'!$A$5:$A$12=E311)*('Staffing Coverage'!$B$5:$B$12=G311),0)),"SHORT","OK"))</f>
        <v>OK</v>
      </c>
    </row>
    <row r="312" customFormat="false" ht="15" hidden="false" customHeight="false" outlineLevel="0" collapsed="false">
      <c r="A312" s="15" t="n">
        <v>46311</v>
      </c>
      <c r="B312" s="16" t="str">
        <f aca="false">TEXT(A312,"ddd")</f>
        <v>Fri</v>
      </c>
      <c r="C312" s="10" t="s">
        <v>165</v>
      </c>
      <c r="D312" s="16" t="str">
        <f aca="false">IFERROR(INDEX('Staff Master'!$B$5:$B$24,MATCH(C312,'Staff Master'!$A$5:$A$24,0)),"")</f>
        <v>Priya Nair</v>
      </c>
      <c r="E312" s="16" t="str">
        <f aca="false">IFERROR(INDEX('Staff Master'!$D$5:$D$24,MATCH(C312,'Staff Master'!$A$5:$A$24,0)),"")</f>
        <v>Nursing</v>
      </c>
      <c r="F312" s="16" t="str">
        <f aca="false">IFERROR(INDEX('Staff Master'!$E$5:$E$24,MATCH(C312,'Staff Master'!$A$5:$A$24,0)),"")</f>
        <v>Nurse</v>
      </c>
      <c r="G312" s="10" t="s">
        <v>90</v>
      </c>
      <c r="H312" s="17" t="n">
        <f aca="false">IFERROR(INDEX('Shift Master'!$C$5:$C$16,MATCH(G312,'Shift Master'!$A$5:$A$16,0)),"")</f>
        <v>0.375</v>
      </c>
      <c r="I312" s="17" t="n">
        <f aca="false">IFERROR(INDEX('Shift Master'!$D$5:$D$16,MATCH(G312,'Shift Master'!$A$5:$A$16,0)),"")</f>
        <v>0.75</v>
      </c>
      <c r="J312" s="16" t="n">
        <f aca="false">IFERROR(INDEX('Shift Master'!$E$5:$E$16,MATCH(G312,'Shift Master'!$A$5:$A$16,0)),"")</f>
        <v>60</v>
      </c>
      <c r="K312" s="16" t="n">
        <f aca="false">IFERROR(INDEX('Shift Master'!$G$5:$G$16,MATCH(G312,'Shift Master'!$A$5:$A$16,0)),0)</f>
        <v>8</v>
      </c>
      <c r="L312" s="16" t="s">
        <v>228</v>
      </c>
      <c r="M312" s="16" t="s">
        <v>229</v>
      </c>
      <c r="N312" s="16" t="str">
        <f aca="false">IF(COUNTIFS('Staffing Coverage'!$A$5:$A$12,E312,'Staffing Coverage'!$B$5:$B$12,G312)=0,"",IF(COUNTIFS($A$5:$A$10004,A312,$E$5:$E$10004,E312,$G$5:$G$10004,G312)&lt;INDEX('Staffing Coverage'!$C$5:$C$12,MATCH(1,('Staffing Coverage'!$A$5:$A$12=E312)*('Staffing Coverage'!$B$5:$B$12=G312),0)),"SHORT","OK"))</f>
        <v>OK</v>
      </c>
    </row>
    <row r="313" customFormat="false" ht="15" hidden="false" customHeight="false" outlineLevel="0" collapsed="false">
      <c r="A313" s="15" t="n">
        <v>46311</v>
      </c>
      <c r="B313" s="16" t="str">
        <f aca="false">TEXT(A313,"ddd")</f>
        <v>Fri</v>
      </c>
      <c r="C313" s="10" t="s">
        <v>170</v>
      </c>
      <c r="D313" s="16" t="str">
        <f aca="false">IFERROR(INDEX('Staff Master'!$B$5:$B$24,MATCH(C313,'Staff Master'!$A$5:$A$24,0)),"")</f>
        <v>Maria Santos</v>
      </c>
      <c r="E313" s="16" t="str">
        <f aca="false">IFERROR(INDEX('Staff Master'!$D$5:$D$24,MATCH(C313,'Staff Master'!$A$5:$A$24,0)),"")</f>
        <v>Nursing</v>
      </c>
      <c r="F313" s="16" t="str">
        <f aca="false">IFERROR(INDEX('Staff Master'!$E$5:$E$24,MATCH(C313,'Staff Master'!$A$5:$A$24,0)),"")</f>
        <v>Nurse</v>
      </c>
      <c r="G313" s="10" t="s">
        <v>94</v>
      </c>
      <c r="H313" s="17" t="n">
        <f aca="false">IFERROR(INDEX('Shift Master'!$C$5:$C$16,MATCH(G313,'Shift Master'!$A$5:$A$16,0)),"")</f>
        <v>0.541666666666667</v>
      </c>
      <c r="I313" s="17" t="n">
        <f aca="false">IFERROR(INDEX('Shift Master'!$D$5:$D$16,MATCH(G313,'Shift Master'!$A$5:$A$16,0)),"")</f>
        <v>0.916666666666667</v>
      </c>
      <c r="J313" s="16" t="n">
        <f aca="false">IFERROR(INDEX('Shift Master'!$E$5:$E$16,MATCH(G313,'Shift Master'!$A$5:$A$16,0)),"")</f>
        <v>60</v>
      </c>
      <c r="K313" s="16" t="n">
        <f aca="false">IFERROR(INDEX('Shift Master'!$G$5:$G$16,MATCH(G313,'Shift Master'!$A$5:$A$16,0)),0)</f>
        <v>8</v>
      </c>
      <c r="L313" s="16" t="s">
        <v>228</v>
      </c>
      <c r="M313" s="16" t="s">
        <v>229</v>
      </c>
      <c r="N313" s="16" t="str">
        <f aca="false">IF(COUNTIFS('Staffing Coverage'!$A$5:$A$12,E313,'Staffing Coverage'!$B$5:$B$12,G313)=0,"",IF(COUNTIFS($A$5:$A$10004,A313,$E$5:$E$10004,E313,$G$5:$G$10004,G313)&lt;INDEX('Staffing Coverage'!$C$5:$C$12,MATCH(1,('Staffing Coverage'!$A$5:$A$12=E313)*('Staffing Coverage'!$B$5:$B$12=G313),0)),"SHORT","OK"))</f>
        <v/>
      </c>
    </row>
    <row r="314" customFormat="false" ht="15" hidden="false" customHeight="false" outlineLevel="0" collapsed="false">
      <c r="A314" s="15" t="n">
        <v>46311</v>
      </c>
      <c r="B314" s="16" t="str">
        <f aca="false">TEXT(A314,"ddd")</f>
        <v>Fri</v>
      </c>
      <c r="C314" s="10" t="s">
        <v>174</v>
      </c>
      <c r="D314" s="16" t="str">
        <f aca="false">IFERROR(INDEX('Staff Master'!$B$5:$B$24,MATCH(C314,'Staff Master'!$A$5:$A$24,0)),"")</f>
        <v>Aisha Al Shamsi</v>
      </c>
      <c r="E314" s="16" t="str">
        <f aca="false">IFERROR(INDEX('Staff Master'!$D$5:$D$24,MATCH(C314,'Staff Master'!$A$5:$A$24,0)),"")</f>
        <v>Reception</v>
      </c>
      <c r="F314" s="16" t="str">
        <f aca="false">IFERROR(INDEX('Staff Master'!$E$5:$E$24,MATCH(C314,'Staff Master'!$A$5:$A$24,0)),"")</f>
        <v>Receptionist</v>
      </c>
      <c r="G314" s="10" t="s">
        <v>87</v>
      </c>
      <c r="H314" s="17" t="n">
        <f aca="false">IFERROR(INDEX('Shift Master'!$C$5:$C$16,MATCH(G314,'Shift Master'!$A$5:$A$16,0)),"")</f>
        <v>0.333333333333333</v>
      </c>
      <c r="I314" s="17" t="n">
        <f aca="false">IFERROR(INDEX('Shift Master'!$D$5:$D$16,MATCH(G314,'Shift Master'!$A$5:$A$16,0)),"")</f>
        <v>0.708333333333333</v>
      </c>
      <c r="J314" s="16" t="n">
        <f aca="false">IFERROR(INDEX('Shift Master'!$E$5:$E$16,MATCH(G314,'Shift Master'!$A$5:$A$16,0)),"")</f>
        <v>60</v>
      </c>
      <c r="K314" s="16" t="n">
        <f aca="false">IFERROR(INDEX('Shift Master'!$G$5:$G$16,MATCH(G314,'Shift Master'!$A$5:$A$16,0)),0)</f>
        <v>8</v>
      </c>
      <c r="L314" s="16" t="s">
        <v>228</v>
      </c>
      <c r="M314" s="16" t="s">
        <v>229</v>
      </c>
      <c r="N314" s="16" t="str">
        <f aca="false">IF(COUNTIFS('Staffing Coverage'!$A$5:$A$12,E314,'Staffing Coverage'!$B$5:$B$12,G314)=0,"",IF(COUNTIFS($A$5:$A$10004,A314,$E$5:$E$10004,E314,$G$5:$G$10004,G314)&lt;INDEX('Staffing Coverage'!$C$5:$C$12,MATCH(1,('Staffing Coverage'!$A$5:$A$12=E314)*('Staffing Coverage'!$B$5:$B$12=G314),0)),"SHORT","OK"))</f>
        <v>SHORT</v>
      </c>
    </row>
    <row r="315" customFormat="false" ht="15" hidden="false" customHeight="false" outlineLevel="0" collapsed="false">
      <c r="A315" s="15" t="n">
        <v>46311</v>
      </c>
      <c r="B315" s="16" t="str">
        <f aca="false">TEXT(A315,"ddd")</f>
        <v>Fri</v>
      </c>
      <c r="C315" s="10" t="s">
        <v>179</v>
      </c>
      <c r="D315" s="16" t="str">
        <f aca="false">IFERROR(INDEX('Staff Master'!$B$5:$B$24,MATCH(C315,'Staff Master'!$A$5:$A$24,0)),"")</f>
        <v>John Dsouza</v>
      </c>
      <c r="E315" s="16" t="str">
        <f aca="false">IFERROR(INDEX('Staff Master'!$D$5:$D$24,MATCH(C315,'Staff Master'!$A$5:$A$24,0)),"")</f>
        <v>Reception</v>
      </c>
      <c r="F315" s="16" t="str">
        <f aca="false">IFERROR(INDEX('Staff Master'!$E$5:$E$24,MATCH(C315,'Staff Master'!$A$5:$A$24,0)),"")</f>
        <v>Receptionist</v>
      </c>
      <c r="G315" s="10" t="s">
        <v>90</v>
      </c>
      <c r="H315" s="17" t="n">
        <f aca="false">IFERROR(INDEX('Shift Master'!$C$5:$C$16,MATCH(G315,'Shift Master'!$A$5:$A$16,0)),"")</f>
        <v>0.375</v>
      </c>
      <c r="I315" s="17" t="n">
        <f aca="false">IFERROR(INDEX('Shift Master'!$D$5:$D$16,MATCH(G315,'Shift Master'!$A$5:$A$16,0)),"")</f>
        <v>0.75</v>
      </c>
      <c r="J315" s="16" t="n">
        <f aca="false">IFERROR(INDEX('Shift Master'!$E$5:$E$16,MATCH(G315,'Shift Master'!$A$5:$A$16,0)),"")</f>
        <v>60</v>
      </c>
      <c r="K315" s="16" t="n">
        <f aca="false">IFERROR(INDEX('Shift Master'!$G$5:$G$16,MATCH(G315,'Shift Master'!$A$5:$A$16,0)),0)</f>
        <v>8</v>
      </c>
      <c r="L315" s="16" t="s">
        <v>228</v>
      </c>
      <c r="M315" s="16" t="s">
        <v>229</v>
      </c>
      <c r="N315" s="16" t="str">
        <f aca="false">IF(COUNTIFS('Staffing Coverage'!$A$5:$A$12,E315,'Staffing Coverage'!$B$5:$B$12,G315)=0,"",IF(COUNTIFS($A$5:$A$10004,A315,$E$5:$E$10004,E315,$G$5:$G$10004,G315)&lt;INDEX('Staffing Coverage'!$C$5:$C$12,MATCH(1,('Staffing Coverage'!$A$5:$A$12=E315)*('Staffing Coverage'!$B$5:$B$12=G315),0)),"SHORT","OK"))</f>
        <v>SHORT</v>
      </c>
    </row>
    <row r="316" customFormat="false" ht="15" hidden="false" customHeight="false" outlineLevel="0" collapsed="false">
      <c r="A316" s="15" t="n">
        <v>46311</v>
      </c>
      <c r="B316" s="16" t="str">
        <f aca="false">TEXT(A316,"ddd")</f>
        <v>Fri</v>
      </c>
      <c r="C316" s="10" t="s">
        <v>184</v>
      </c>
      <c r="D316" s="16" t="str">
        <f aca="false">IFERROR(INDEX('Staff Master'!$B$5:$B$24,MATCH(C316,'Staff Master'!$A$5:$A$24,0)),"")</f>
        <v>Fatima Zahra</v>
      </c>
      <c r="E316" s="16" t="str">
        <f aca="false">IFERROR(INDEX('Staff Master'!$D$5:$D$24,MATCH(C316,'Staff Master'!$A$5:$A$24,0)),"")</f>
        <v>Reception</v>
      </c>
      <c r="F316" s="16" t="str">
        <f aca="false">IFERROR(INDEX('Staff Master'!$E$5:$E$24,MATCH(C316,'Staff Master'!$A$5:$A$24,0)),"")</f>
        <v>Receptionist</v>
      </c>
      <c r="G316" s="10" t="s">
        <v>94</v>
      </c>
      <c r="H316" s="17" t="n">
        <f aca="false">IFERROR(INDEX('Shift Master'!$C$5:$C$16,MATCH(G316,'Shift Master'!$A$5:$A$16,0)),"")</f>
        <v>0.541666666666667</v>
      </c>
      <c r="I316" s="17" t="n">
        <f aca="false">IFERROR(INDEX('Shift Master'!$D$5:$D$16,MATCH(G316,'Shift Master'!$A$5:$A$16,0)),"")</f>
        <v>0.916666666666667</v>
      </c>
      <c r="J316" s="16" t="n">
        <f aca="false">IFERROR(INDEX('Shift Master'!$E$5:$E$16,MATCH(G316,'Shift Master'!$A$5:$A$16,0)),"")</f>
        <v>60</v>
      </c>
      <c r="K316" s="16" t="n">
        <f aca="false">IFERROR(INDEX('Shift Master'!$G$5:$G$16,MATCH(G316,'Shift Master'!$A$5:$A$16,0)),0)</f>
        <v>8</v>
      </c>
      <c r="L316" s="16" t="s">
        <v>228</v>
      </c>
      <c r="M316" s="16" t="s">
        <v>229</v>
      </c>
      <c r="N316" s="16" t="str">
        <f aca="false">IF(COUNTIFS('Staffing Coverage'!$A$5:$A$12,E316,'Staffing Coverage'!$B$5:$B$12,G316)=0,"",IF(COUNTIFS($A$5:$A$10004,A316,$E$5:$E$10004,E316,$G$5:$G$10004,G316)&lt;INDEX('Staffing Coverage'!$C$5:$C$12,MATCH(1,('Staffing Coverage'!$A$5:$A$12=E316)*('Staffing Coverage'!$B$5:$B$12=G316),0)),"SHORT","OK"))</f>
        <v>OK</v>
      </c>
    </row>
    <row r="317" customFormat="false" ht="15" hidden="false" customHeight="false" outlineLevel="0" collapsed="false">
      <c r="A317" s="15" t="n">
        <v>46311</v>
      </c>
      <c r="B317" s="16" t="str">
        <f aca="false">TEXT(A317,"ddd")</f>
        <v>Fri</v>
      </c>
      <c r="C317" s="10" t="s">
        <v>188</v>
      </c>
      <c r="D317" s="16" t="str">
        <f aca="false">IFERROR(INDEX('Staff Master'!$B$5:$B$24,MATCH(C317,'Staff Master'!$A$5:$A$24,0)),"")</f>
        <v>Ana Reyes</v>
      </c>
      <c r="E317" s="16" t="str">
        <f aca="false">IFERROR(INDEX('Staff Master'!$D$5:$D$24,MATCH(C317,'Staff Master'!$A$5:$A$24,0)),"")</f>
        <v>Dental</v>
      </c>
      <c r="F317" s="16" t="str">
        <f aca="false">IFERROR(INDEX('Staff Master'!$E$5:$E$24,MATCH(C317,'Staff Master'!$A$5:$A$24,0)),"")</f>
        <v>Dental Assistant</v>
      </c>
      <c r="G317" s="10" t="s">
        <v>87</v>
      </c>
      <c r="H317" s="17" t="n">
        <f aca="false">IFERROR(INDEX('Shift Master'!$C$5:$C$16,MATCH(G317,'Shift Master'!$A$5:$A$16,0)),"")</f>
        <v>0.333333333333333</v>
      </c>
      <c r="I317" s="17" t="n">
        <f aca="false">IFERROR(INDEX('Shift Master'!$D$5:$D$16,MATCH(G317,'Shift Master'!$A$5:$A$16,0)),"")</f>
        <v>0.708333333333333</v>
      </c>
      <c r="J317" s="16" t="n">
        <f aca="false">IFERROR(INDEX('Shift Master'!$E$5:$E$16,MATCH(G317,'Shift Master'!$A$5:$A$16,0)),"")</f>
        <v>60</v>
      </c>
      <c r="K317" s="16" t="n">
        <f aca="false">IFERROR(INDEX('Shift Master'!$G$5:$G$16,MATCH(G317,'Shift Master'!$A$5:$A$16,0)),0)</f>
        <v>8</v>
      </c>
      <c r="L317" s="16" t="s">
        <v>228</v>
      </c>
      <c r="M317" s="16" t="s">
        <v>229</v>
      </c>
      <c r="N317" s="16" t="str">
        <f aca="false">IF(COUNTIFS('Staffing Coverage'!$A$5:$A$12,E317,'Staffing Coverage'!$B$5:$B$12,G317)=0,"",IF(COUNTIFS($A$5:$A$10004,A317,$E$5:$E$10004,E317,$G$5:$G$10004,G317)&lt;INDEX('Staffing Coverage'!$C$5:$C$12,MATCH(1,('Staffing Coverage'!$A$5:$A$12=E317)*('Staffing Coverage'!$B$5:$B$12=G317),0)),"SHORT","OK"))</f>
        <v>OK</v>
      </c>
    </row>
    <row r="318" customFormat="false" ht="15" hidden="false" customHeight="false" outlineLevel="0" collapsed="false">
      <c r="A318" s="15" t="n">
        <v>46311</v>
      </c>
      <c r="B318" s="16" t="str">
        <f aca="false">TEXT(A318,"ddd")</f>
        <v>Fri</v>
      </c>
      <c r="C318" s="10" t="s">
        <v>192</v>
      </c>
      <c r="D318" s="16" t="str">
        <f aca="false">IFERROR(INDEX('Staff Master'!$B$5:$B$24,MATCH(C318,'Staff Master'!$A$5:$A$24,0)),"")</f>
        <v>Noor Hassan</v>
      </c>
      <c r="E318" s="16" t="str">
        <f aca="false">IFERROR(INDEX('Staff Master'!$D$5:$D$24,MATCH(C318,'Staff Master'!$A$5:$A$24,0)),"")</f>
        <v>Dental</v>
      </c>
      <c r="F318" s="16" t="str">
        <f aca="false">IFERROR(INDEX('Staff Master'!$E$5:$E$24,MATCH(C318,'Staff Master'!$A$5:$A$24,0)),"")</f>
        <v>Dental Assistant</v>
      </c>
      <c r="G318" s="10" t="s">
        <v>90</v>
      </c>
      <c r="H318" s="17" t="n">
        <f aca="false">IFERROR(INDEX('Shift Master'!$C$5:$C$16,MATCH(G318,'Shift Master'!$A$5:$A$16,0)),"")</f>
        <v>0.375</v>
      </c>
      <c r="I318" s="17" t="n">
        <f aca="false">IFERROR(INDEX('Shift Master'!$D$5:$D$16,MATCH(G318,'Shift Master'!$A$5:$A$16,0)),"")</f>
        <v>0.75</v>
      </c>
      <c r="J318" s="16" t="n">
        <f aca="false">IFERROR(INDEX('Shift Master'!$E$5:$E$16,MATCH(G318,'Shift Master'!$A$5:$A$16,0)),"")</f>
        <v>60</v>
      </c>
      <c r="K318" s="16" t="n">
        <f aca="false">IFERROR(INDEX('Shift Master'!$G$5:$G$16,MATCH(G318,'Shift Master'!$A$5:$A$16,0)),0)</f>
        <v>8</v>
      </c>
      <c r="L318" s="16" t="s">
        <v>228</v>
      </c>
      <c r="M318" s="16" t="s">
        <v>229</v>
      </c>
      <c r="N318" s="16" t="str">
        <f aca="false">IF(COUNTIFS('Staffing Coverage'!$A$5:$A$12,E318,'Staffing Coverage'!$B$5:$B$12,G318)=0,"",IF(COUNTIFS($A$5:$A$10004,A318,$E$5:$E$10004,E318,$G$5:$G$10004,G318)&lt;INDEX('Staffing Coverage'!$C$5:$C$12,MATCH(1,('Staffing Coverage'!$A$5:$A$12=E318)*('Staffing Coverage'!$B$5:$B$12=G318),0)),"SHORT","OK"))</f>
        <v/>
      </c>
    </row>
    <row r="319" customFormat="false" ht="15" hidden="false" customHeight="false" outlineLevel="0" collapsed="false">
      <c r="A319" s="15" t="n">
        <v>46311</v>
      </c>
      <c r="B319" s="16" t="str">
        <f aca="false">TEXT(A319,"ddd")</f>
        <v>Fri</v>
      </c>
      <c r="C319" s="10" t="s">
        <v>196</v>
      </c>
      <c r="D319" s="16" t="str">
        <f aca="false">IFERROR(INDEX('Staff Master'!$B$5:$B$24,MATCH(C319,'Staff Master'!$A$5:$A$24,0)),"")</f>
        <v>Karan Mehta</v>
      </c>
      <c r="E319" s="16" t="str">
        <f aca="false">IFERROR(INDEX('Staff Master'!$D$5:$D$24,MATCH(C319,'Staff Master'!$A$5:$A$24,0)),"")</f>
        <v>Laser</v>
      </c>
      <c r="F319" s="16" t="str">
        <f aca="false">IFERROR(INDEX('Staff Master'!$E$5:$E$24,MATCH(C319,'Staff Master'!$A$5:$A$24,0)),"")</f>
        <v>Laser Technician</v>
      </c>
      <c r="G319" s="10" t="s">
        <v>97</v>
      </c>
      <c r="H319" s="17" t="n">
        <f aca="false">IFERROR(INDEX('Shift Master'!$C$5:$C$16,MATCH(G319,'Shift Master'!$A$5:$A$16,0)),"")</f>
        <v>0</v>
      </c>
      <c r="I319" s="17" t="n">
        <f aca="false">IFERROR(INDEX('Shift Master'!$D$5:$D$16,MATCH(G319,'Shift Master'!$A$5:$A$16,0)),"")</f>
        <v>0</v>
      </c>
      <c r="J319" s="16" t="n">
        <f aca="false">IFERROR(INDEX('Shift Master'!$E$5:$E$16,MATCH(G319,'Shift Master'!$A$5:$A$16,0)),"")</f>
        <v>0</v>
      </c>
      <c r="K319" s="16" t="n">
        <f aca="false">IFERROR(INDEX('Shift Master'!$G$5:$G$16,MATCH(G319,'Shift Master'!$A$5:$A$16,0)),0)</f>
        <v>0</v>
      </c>
      <c r="L319" s="16" t="s">
        <v>228</v>
      </c>
      <c r="M319" s="16" t="s">
        <v>229</v>
      </c>
      <c r="N319" s="16" t="str">
        <f aca="false">IF(COUNTIFS('Staffing Coverage'!$A$5:$A$12,E319,'Staffing Coverage'!$B$5:$B$12,G319)=0,"",IF(COUNTIFS($A$5:$A$10004,A319,$E$5:$E$10004,E319,$G$5:$G$10004,G319)&lt;INDEX('Staffing Coverage'!$C$5:$C$12,MATCH(1,('Staffing Coverage'!$A$5:$A$12=E319)*('Staffing Coverage'!$B$5:$B$12=G319),0)),"SHORT","OK"))</f>
        <v/>
      </c>
    </row>
    <row r="320" customFormat="false" ht="15" hidden="false" customHeight="false" outlineLevel="0" collapsed="false">
      <c r="A320" s="15" t="n">
        <v>46311</v>
      </c>
      <c r="B320" s="16" t="str">
        <f aca="false">TEXT(A320,"ddd")</f>
        <v>Fri</v>
      </c>
      <c r="C320" s="10" t="s">
        <v>200</v>
      </c>
      <c r="D320" s="16" t="str">
        <f aca="false">IFERROR(INDEX('Staff Master'!$B$5:$B$24,MATCH(C320,'Staff Master'!$A$5:$A$24,0)),"")</f>
        <v>Imran Sheikh</v>
      </c>
      <c r="E320" s="16" t="str">
        <f aca="false">IFERROR(INDEX('Staff Master'!$D$5:$D$24,MATCH(C320,'Staff Master'!$A$5:$A$24,0)),"")</f>
        <v>Dental Laboratory</v>
      </c>
      <c r="F320" s="16" t="str">
        <f aca="false">IFERROR(INDEX('Staff Master'!$E$5:$E$24,MATCH(C320,'Staff Master'!$A$5:$A$24,0)),"")</f>
        <v>Dental Technician</v>
      </c>
      <c r="G320" s="10" t="s">
        <v>87</v>
      </c>
      <c r="H320" s="17" t="n">
        <f aca="false">IFERROR(INDEX('Shift Master'!$C$5:$C$16,MATCH(G320,'Shift Master'!$A$5:$A$16,0)),"")</f>
        <v>0.333333333333333</v>
      </c>
      <c r="I320" s="17" t="n">
        <f aca="false">IFERROR(INDEX('Shift Master'!$D$5:$D$16,MATCH(G320,'Shift Master'!$A$5:$A$16,0)),"")</f>
        <v>0.708333333333333</v>
      </c>
      <c r="J320" s="16" t="n">
        <f aca="false">IFERROR(INDEX('Shift Master'!$E$5:$E$16,MATCH(G320,'Shift Master'!$A$5:$A$16,0)),"")</f>
        <v>60</v>
      </c>
      <c r="K320" s="16" t="n">
        <f aca="false">IFERROR(INDEX('Shift Master'!$G$5:$G$16,MATCH(G320,'Shift Master'!$A$5:$A$16,0)),0)</f>
        <v>8</v>
      </c>
      <c r="L320" s="16" t="s">
        <v>228</v>
      </c>
      <c r="M320" s="16" t="s">
        <v>229</v>
      </c>
      <c r="N320" s="16" t="str">
        <f aca="false">IF(COUNTIFS('Staffing Coverage'!$A$5:$A$12,E320,'Staffing Coverage'!$B$5:$B$12,G320)=0,"",IF(COUNTIFS($A$5:$A$10004,A320,$E$5:$E$10004,E320,$G$5:$G$10004,G320)&lt;INDEX('Staffing Coverage'!$C$5:$C$12,MATCH(1,('Staffing Coverage'!$A$5:$A$12=E320)*('Staffing Coverage'!$B$5:$B$12=G320),0)),"SHORT","OK"))</f>
        <v/>
      </c>
    </row>
    <row r="321" customFormat="false" ht="15" hidden="false" customHeight="false" outlineLevel="0" collapsed="false">
      <c r="A321" s="15" t="n">
        <v>46311</v>
      </c>
      <c r="B321" s="16" t="str">
        <f aca="false">TEXT(A321,"ddd")</f>
        <v>Fri</v>
      </c>
      <c r="C321" s="10" t="s">
        <v>204</v>
      </c>
      <c r="D321" s="16" t="str">
        <f aca="false">IFERROR(INDEX('Staff Master'!$B$5:$B$24,MATCH(C321,'Staff Master'!$A$5:$A$24,0)),"")</f>
        <v>Josephine Cruz</v>
      </c>
      <c r="E321" s="16" t="str">
        <f aca="false">IFERROR(INDEX('Staff Master'!$D$5:$D$24,MATCH(C321,'Staff Master'!$A$5:$A$24,0)),"")</f>
        <v>CSSD</v>
      </c>
      <c r="F321" s="16" t="str">
        <f aca="false">IFERROR(INDEX('Staff Master'!$E$5:$E$24,MATCH(C321,'Staff Master'!$A$5:$A$24,0)),"")</f>
        <v>CSSD Technician</v>
      </c>
      <c r="G321" s="10" t="s">
        <v>87</v>
      </c>
      <c r="H321" s="17" t="n">
        <f aca="false">IFERROR(INDEX('Shift Master'!$C$5:$C$16,MATCH(G321,'Shift Master'!$A$5:$A$16,0)),"")</f>
        <v>0.333333333333333</v>
      </c>
      <c r="I321" s="17" t="n">
        <f aca="false">IFERROR(INDEX('Shift Master'!$D$5:$D$16,MATCH(G321,'Shift Master'!$A$5:$A$16,0)),"")</f>
        <v>0.708333333333333</v>
      </c>
      <c r="J321" s="16" t="n">
        <f aca="false">IFERROR(INDEX('Shift Master'!$E$5:$E$16,MATCH(G321,'Shift Master'!$A$5:$A$16,0)),"")</f>
        <v>60</v>
      </c>
      <c r="K321" s="16" t="n">
        <f aca="false">IFERROR(INDEX('Shift Master'!$G$5:$G$16,MATCH(G321,'Shift Master'!$A$5:$A$16,0)),0)</f>
        <v>8</v>
      </c>
      <c r="L321" s="16" t="s">
        <v>228</v>
      </c>
      <c r="M321" s="16" t="s">
        <v>229</v>
      </c>
      <c r="N321" s="16" t="str">
        <f aca="false">IF(COUNTIFS('Staffing Coverage'!$A$5:$A$12,E321,'Staffing Coverage'!$B$5:$B$12,G321)=0,"",IF(COUNTIFS($A$5:$A$10004,A321,$E$5:$E$10004,E321,$G$5:$G$10004,G321)&lt;INDEX('Staffing Coverage'!$C$5:$C$12,MATCH(1,('Staffing Coverage'!$A$5:$A$12=E321)*('Staffing Coverage'!$B$5:$B$12=G321),0)),"SHORT","OK"))</f>
        <v>OK</v>
      </c>
    </row>
    <row r="322" customFormat="false" ht="15" hidden="false" customHeight="false" outlineLevel="0" collapsed="false">
      <c r="A322" s="15" t="n">
        <v>46311</v>
      </c>
      <c r="B322" s="16" t="str">
        <f aca="false">TEXT(A322,"ddd")</f>
        <v>Fri</v>
      </c>
      <c r="C322" s="10" t="s">
        <v>208</v>
      </c>
      <c r="D322" s="16" t="str">
        <f aca="false">IFERROR(INDEX('Staff Master'!$B$5:$B$24,MATCH(C322,'Staff Master'!$A$5:$A$24,0)),"")</f>
        <v>Rosalyn Tan</v>
      </c>
      <c r="E322" s="16" t="str">
        <f aca="false">IFERROR(INDEX('Staff Master'!$D$5:$D$24,MATCH(C322,'Staff Master'!$A$5:$A$24,0)),"")</f>
        <v>Cleaning</v>
      </c>
      <c r="F322" s="16" t="str">
        <f aca="false">IFERROR(INDEX('Staff Master'!$E$5:$E$24,MATCH(C322,'Staff Master'!$A$5:$A$24,0)),"")</f>
        <v>Cleaner</v>
      </c>
      <c r="G322" s="10" t="s">
        <v>87</v>
      </c>
      <c r="H322" s="17" t="n">
        <f aca="false">IFERROR(INDEX('Shift Master'!$C$5:$C$16,MATCH(G322,'Shift Master'!$A$5:$A$16,0)),"")</f>
        <v>0.333333333333333</v>
      </c>
      <c r="I322" s="17" t="n">
        <f aca="false">IFERROR(INDEX('Shift Master'!$D$5:$D$16,MATCH(G322,'Shift Master'!$A$5:$A$16,0)),"")</f>
        <v>0.708333333333333</v>
      </c>
      <c r="J322" s="16" t="n">
        <f aca="false">IFERROR(INDEX('Shift Master'!$E$5:$E$16,MATCH(G322,'Shift Master'!$A$5:$A$16,0)),"")</f>
        <v>60</v>
      </c>
      <c r="K322" s="16" t="n">
        <f aca="false">IFERROR(INDEX('Shift Master'!$G$5:$G$16,MATCH(G322,'Shift Master'!$A$5:$A$16,0)),0)</f>
        <v>8</v>
      </c>
      <c r="L322" s="16" t="s">
        <v>228</v>
      </c>
      <c r="M322" s="16" t="s">
        <v>229</v>
      </c>
      <c r="N322" s="16" t="str">
        <f aca="false">IF(COUNTIFS('Staffing Coverage'!$A$5:$A$12,E322,'Staffing Coverage'!$B$5:$B$12,G322)=0,"",IF(COUNTIFS($A$5:$A$10004,A322,$E$5:$E$10004,E322,$G$5:$G$10004,G322)&lt;INDEX('Staffing Coverage'!$C$5:$C$12,MATCH(1,('Staffing Coverage'!$A$5:$A$12=E322)*('Staffing Coverage'!$B$5:$B$12=G322),0)),"SHORT","OK"))</f>
        <v>OK</v>
      </c>
    </row>
    <row r="323" customFormat="false" ht="15" hidden="false" customHeight="false" outlineLevel="0" collapsed="false">
      <c r="A323" s="15" t="n">
        <v>46311</v>
      </c>
      <c r="B323" s="16" t="str">
        <f aca="false">TEXT(A323,"ddd")</f>
        <v>Fri</v>
      </c>
      <c r="C323" s="10" t="s">
        <v>212</v>
      </c>
      <c r="D323" s="16" t="str">
        <f aca="false">IFERROR(INDEX('Staff Master'!$B$5:$B$24,MATCH(C323,'Staff Master'!$A$5:$A$24,0)),"")</f>
        <v>Hassan Baig</v>
      </c>
      <c r="E323" s="16" t="str">
        <f aca="false">IFERROR(INDEX('Staff Master'!$D$5:$D$24,MATCH(C323,'Staff Master'!$A$5:$A$24,0)),"")</f>
        <v>Facilities</v>
      </c>
      <c r="F323" s="16" t="str">
        <f aca="false">IFERROR(INDEX('Staff Master'!$E$5:$E$24,MATCH(C323,'Staff Master'!$A$5:$A$24,0)),"")</f>
        <v>Facility Manager</v>
      </c>
      <c r="G323" s="10" t="s">
        <v>97</v>
      </c>
      <c r="H323" s="17" t="n">
        <f aca="false">IFERROR(INDEX('Shift Master'!$C$5:$C$16,MATCH(G323,'Shift Master'!$A$5:$A$16,0)),"")</f>
        <v>0</v>
      </c>
      <c r="I323" s="17" t="n">
        <f aca="false">IFERROR(INDEX('Shift Master'!$D$5:$D$16,MATCH(G323,'Shift Master'!$A$5:$A$16,0)),"")</f>
        <v>0</v>
      </c>
      <c r="J323" s="16" t="n">
        <f aca="false">IFERROR(INDEX('Shift Master'!$E$5:$E$16,MATCH(G323,'Shift Master'!$A$5:$A$16,0)),"")</f>
        <v>0</v>
      </c>
      <c r="K323" s="16" t="n">
        <f aca="false">IFERROR(INDEX('Shift Master'!$G$5:$G$16,MATCH(G323,'Shift Master'!$A$5:$A$16,0)),0)</f>
        <v>0</v>
      </c>
      <c r="L323" s="16" t="s">
        <v>228</v>
      </c>
      <c r="M323" s="16" t="s">
        <v>229</v>
      </c>
      <c r="N323" s="16" t="str">
        <f aca="false">IF(COUNTIFS('Staffing Coverage'!$A$5:$A$12,E323,'Staffing Coverage'!$B$5:$B$12,G323)=0,"",IF(COUNTIFS($A$5:$A$10004,A323,$E$5:$E$10004,E323,$G$5:$G$10004,G323)&lt;INDEX('Staffing Coverage'!$C$5:$C$12,MATCH(1,('Staffing Coverage'!$A$5:$A$12=E323)*('Staffing Coverage'!$B$5:$B$12=G323),0)),"SHORT","OK"))</f>
        <v/>
      </c>
    </row>
    <row r="324" customFormat="false" ht="15" hidden="false" customHeight="false" outlineLevel="0" collapsed="false">
      <c r="A324" s="15" t="n">
        <v>46311</v>
      </c>
      <c r="B324" s="16" t="str">
        <f aca="false">TEXT(A324,"ddd")</f>
        <v>Fri</v>
      </c>
      <c r="C324" s="10" t="s">
        <v>178</v>
      </c>
      <c r="D324" s="16" t="str">
        <f aca="false">IFERROR(INDEX('Staff Master'!$B$5:$B$24,MATCH(C324,'Staff Master'!$A$5:$A$24,0)),"")</f>
        <v>Meera Pillai</v>
      </c>
      <c r="E324" s="16" t="str">
        <f aca="false">IFERROR(INDEX('Staff Master'!$D$5:$D$24,MATCH(C324,'Staff Master'!$A$5:$A$24,0)),"")</f>
        <v>HR</v>
      </c>
      <c r="F324" s="16" t="str">
        <f aca="false">IFERROR(INDEX('Staff Master'!$E$5:$E$24,MATCH(C324,'Staff Master'!$A$5:$A$24,0)),"")</f>
        <v>HR Executive</v>
      </c>
      <c r="G324" s="10" t="s">
        <v>90</v>
      </c>
      <c r="H324" s="17" t="n">
        <f aca="false">IFERROR(INDEX('Shift Master'!$C$5:$C$16,MATCH(G324,'Shift Master'!$A$5:$A$16,0)),"")</f>
        <v>0.375</v>
      </c>
      <c r="I324" s="17" t="n">
        <f aca="false">IFERROR(INDEX('Shift Master'!$D$5:$D$16,MATCH(G324,'Shift Master'!$A$5:$A$16,0)),"")</f>
        <v>0.75</v>
      </c>
      <c r="J324" s="16" t="n">
        <f aca="false">IFERROR(INDEX('Shift Master'!$E$5:$E$16,MATCH(G324,'Shift Master'!$A$5:$A$16,0)),"")</f>
        <v>60</v>
      </c>
      <c r="K324" s="16" t="n">
        <f aca="false">IFERROR(INDEX('Shift Master'!$G$5:$G$16,MATCH(G324,'Shift Master'!$A$5:$A$16,0)),0)</f>
        <v>8</v>
      </c>
      <c r="L324" s="16" t="s">
        <v>228</v>
      </c>
      <c r="M324" s="16" t="s">
        <v>229</v>
      </c>
      <c r="N324" s="16" t="str">
        <f aca="false">IF(COUNTIFS('Staffing Coverage'!$A$5:$A$12,E324,'Staffing Coverage'!$B$5:$B$12,G324)=0,"",IF(COUNTIFS($A$5:$A$10004,A324,$E$5:$E$10004,E324,$G$5:$G$10004,G324)&lt;INDEX('Staffing Coverage'!$C$5:$C$12,MATCH(1,('Staffing Coverage'!$A$5:$A$12=E324)*('Staffing Coverage'!$B$5:$B$12=G324),0)),"SHORT","OK"))</f>
        <v/>
      </c>
    </row>
    <row r="325" customFormat="false" ht="15" hidden="false" customHeight="false" outlineLevel="0" collapsed="false">
      <c r="A325" s="15" t="n">
        <v>46312</v>
      </c>
      <c r="B325" s="16" t="str">
        <f aca="false">TEXT(A325,"ddd")</f>
        <v>Sat</v>
      </c>
      <c r="C325" s="10" t="s">
        <v>128</v>
      </c>
      <c r="D325" s="16" t="str">
        <f aca="false">IFERROR(INDEX('Staff Master'!$B$5:$B$24,MATCH(C325,'Staff Master'!$A$5:$A$24,0)),"")</f>
        <v>Rashid Al Nuaimi</v>
      </c>
      <c r="E325" s="16" t="str">
        <f aca="false">IFERROR(INDEX('Staff Master'!$D$5:$D$24,MATCH(C325,'Staff Master'!$A$5:$A$24,0)),"")</f>
        <v>Management</v>
      </c>
      <c r="F325" s="16" t="str">
        <f aca="false">IFERROR(INDEX('Staff Master'!$E$5:$E$24,MATCH(C325,'Staff Master'!$A$5:$A$24,0)),"")</f>
        <v>CEO</v>
      </c>
      <c r="G325" s="10" t="s">
        <v>97</v>
      </c>
      <c r="H325" s="17" t="n">
        <f aca="false">IFERROR(INDEX('Shift Master'!$C$5:$C$16,MATCH(G325,'Shift Master'!$A$5:$A$16,0)),"")</f>
        <v>0</v>
      </c>
      <c r="I325" s="17" t="n">
        <f aca="false">IFERROR(INDEX('Shift Master'!$D$5:$D$16,MATCH(G325,'Shift Master'!$A$5:$A$16,0)),"")</f>
        <v>0</v>
      </c>
      <c r="J325" s="16" t="n">
        <f aca="false">IFERROR(INDEX('Shift Master'!$E$5:$E$16,MATCH(G325,'Shift Master'!$A$5:$A$16,0)),"")</f>
        <v>0</v>
      </c>
      <c r="K325" s="16" t="n">
        <f aca="false">IFERROR(INDEX('Shift Master'!$G$5:$G$16,MATCH(G325,'Shift Master'!$A$5:$A$16,0)),0)</f>
        <v>0</v>
      </c>
      <c r="L325" s="16" t="s">
        <v>228</v>
      </c>
      <c r="M325" s="16" t="s">
        <v>229</v>
      </c>
      <c r="N325" s="16" t="str">
        <f aca="false">IF(COUNTIFS('Staffing Coverage'!$A$5:$A$12,E325,'Staffing Coverage'!$B$5:$B$12,G325)=0,"",IF(COUNTIFS($A$5:$A$10004,A325,$E$5:$E$10004,E325,$G$5:$G$10004,G325)&lt;INDEX('Staffing Coverage'!$C$5:$C$12,MATCH(1,('Staffing Coverage'!$A$5:$A$12=E325)*('Staffing Coverage'!$B$5:$B$12=G325),0)),"SHORT","OK"))</f>
        <v/>
      </c>
    </row>
    <row r="326" customFormat="false" ht="15" hidden="false" customHeight="false" outlineLevel="0" collapsed="false">
      <c r="A326" s="15" t="n">
        <v>46312</v>
      </c>
      <c r="B326" s="16" t="str">
        <f aca="false">TEXT(A326,"ddd")</f>
        <v>Sat</v>
      </c>
      <c r="C326" s="10" t="s">
        <v>137</v>
      </c>
      <c r="D326" s="16" t="str">
        <f aca="false">IFERROR(INDEX('Staff Master'!$B$5:$B$24,MATCH(C326,'Staff Master'!$A$5:$A$24,0)),"")</f>
        <v>Dr. Sara Haddad</v>
      </c>
      <c r="E326" s="16" t="str">
        <f aca="false">IFERROR(INDEX('Staff Master'!$D$5:$D$24,MATCH(C326,'Staff Master'!$A$5:$A$24,0)),"")</f>
        <v>General Practice</v>
      </c>
      <c r="F326" s="16" t="str">
        <f aca="false">IFERROR(INDEX('Staff Master'!$E$5:$E$24,MATCH(C326,'Staff Master'!$A$5:$A$24,0)),"")</f>
        <v>Medical Director</v>
      </c>
      <c r="G326" s="10" t="s">
        <v>96</v>
      </c>
      <c r="H326" s="17" t="n">
        <f aca="false">IFERROR(INDEX('Shift Master'!$C$5:$C$16,MATCH(G326,'Shift Master'!$A$5:$A$16,0)),"")</f>
        <v>0.375</v>
      </c>
      <c r="I326" s="17" t="n">
        <f aca="false">IFERROR(INDEX('Shift Master'!$D$5:$D$16,MATCH(G326,'Shift Master'!$A$5:$A$16,0)),"")</f>
        <v>0.708333333333333</v>
      </c>
      <c r="J326" s="16" t="n">
        <f aca="false">IFERROR(INDEX('Shift Master'!$E$5:$E$16,MATCH(G326,'Shift Master'!$A$5:$A$16,0)),"")</f>
        <v>60</v>
      </c>
      <c r="K326" s="16" t="n">
        <f aca="false">IFERROR(INDEX('Shift Master'!$G$5:$G$16,MATCH(G326,'Shift Master'!$A$5:$A$16,0)),0)</f>
        <v>7</v>
      </c>
      <c r="L326" s="16" t="s">
        <v>228</v>
      </c>
      <c r="M326" s="16" t="s">
        <v>229</v>
      </c>
      <c r="N326" s="16" t="str">
        <f aca="false">IF(COUNTIFS('Staffing Coverage'!$A$5:$A$12,E326,'Staffing Coverage'!$B$5:$B$12,G326)=0,"",IF(COUNTIFS($A$5:$A$10004,A326,$E$5:$E$10004,E326,$G$5:$G$10004,G326)&lt;INDEX('Staffing Coverage'!$C$5:$C$12,MATCH(1,('Staffing Coverage'!$A$5:$A$12=E326)*('Staffing Coverage'!$B$5:$B$12=G326),0)),"SHORT","OK"))</f>
        <v/>
      </c>
    </row>
    <row r="327" customFormat="false" ht="15" hidden="false" customHeight="false" outlineLevel="0" collapsed="false">
      <c r="A327" s="15" t="n">
        <v>46312</v>
      </c>
      <c r="B327" s="16" t="str">
        <f aca="false">TEXT(A327,"ddd")</f>
        <v>Sat</v>
      </c>
      <c r="C327" s="10" t="s">
        <v>142</v>
      </c>
      <c r="D327" s="16" t="str">
        <f aca="false">IFERROR(INDEX('Staff Master'!$B$5:$B$24,MATCH(C327,'Staff Master'!$A$5:$A$24,0)),"")</f>
        <v>Dr. Omar Khalil</v>
      </c>
      <c r="E327" s="16" t="str">
        <f aca="false">IFERROR(INDEX('Staff Master'!$D$5:$D$24,MATCH(C327,'Staff Master'!$A$5:$A$24,0)),"")</f>
        <v>General Practice</v>
      </c>
      <c r="F327" s="16" t="str">
        <f aca="false">IFERROR(INDEX('Staff Master'!$E$5:$E$24,MATCH(C327,'Staff Master'!$A$5:$A$24,0)),"")</f>
        <v>Doctor</v>
      </c>
      <c r="G327" s="10" t="s">
        <v>97</v>
      </c>
      <c r="H327" s="17" t="n">
        <f aca="false">IFERROR(INDEX('Shift Master'!$C$5:$C$16,MATCH(G327,'Shift Master'!$A$5:$A$16,0)),"")</f>
        <v>0</v>
      </c>
      <c r="I327" s="17" t="n">
        <f aca="false">IFERROR(INDEX('Shift Master'!$D$5:$D$16,MATCH(G327,'Shift Master'!$A$5:$A$16,0)),"")</f>
        <v>0</v>
      </c>
      <c r="J327" s="16" t="n">
        <f aca="false">IFERROR(INDEX('Shift Master'!$E$5:$E$16,MATCH(G327,'Shift Master'!$A$5:$A$16,0)),"")</f>
        <v>0</v>
      </c>
      <c r="K327" s="16" t="n">
        <f aca="false">IFERROR(INDEX('Shift Master'!$G$5:$G$16,MATCH(G327,'Shift Master'!$A$5:$A$16,0)),0)</f>
        <v>0</v>
      </c>
      <c r="L327" s="16" t="s">
        <v>228</v>
      </c>
      <c r="M327" s="16" t="s">
        <v>229</v>
      </c>
      <c r="N327" s="16" t="str">
        <f aca="false">IF(COUNTIFS('Staffing Coverage'!$A$5:$A$12,E327,'Staffing Coverage'!$B$5:$B$12,G327)=0,"",IF(COUNTIFS($A$5:$A$10004,A327,$E$5:$E$10004,E327,$G$5:$G$10004,G327)&lt;INDEX('Staffing Coverage'!$C$5:$C$12,MATCH(1,('Staffing Coverage'!$A$5:$A$12=E327)*('Staffing Coverage'!$B$5:$B$12=G327),0)),"SHORT","OK"))</f>
        <v/>
      </c>
    </row>
    <row r="328" customFormat="false" ht="15" hidden="false" customHeight="false" outlineLevel="0" collapsed="false">
      <c r="A328" s="15" t="n">
        <v>46312</v>
      </c>
      <c r="B328" s="16" t="str">
        <f aca="false">TEXT(A328,"ddd")</f>
        <v>Sat</v>
      </c>
      <c r="C328" s="10" t="s">
        <v>146</v>
      </c>
      <c r="D328" s="16" t="str">
        <f aca="false">IFERROR(INDEX('Staff Master'!$B$5:$B$24,MATCH(C328,'Staff Master'!$A$5:$A$24,0)),"")</f>
        <v>Dr. Lina Abboud</v>
      </c>
      <c r="E328" s="16" t="str">
        <f aca="false">IFERROR(INDEX('Staff Master'!$D$5:$D$24,MATCH(C328,'Staff Master'!$A$5:$A$24,0)),"")</f>
        <v>Dental</v>
      </c>
      <c r="F328" s="16" t="str">
        <f aca="false">IFERROR(INDEX('Staff Master'!$E$5:$E$24,MATCH(C328,'Staff Master'!$A$5:$A$24,0)),"")</f>
        <v>Dentist</v>
      </c>
      <c r="G328" s="10" t="s">
        <v>96</v>
      </c>
      <c r="H328" s="17" t="n">
        <f aca="false">IFERROR(INDEX('Shift Master'!$C$5:$C$16,MATCH(G328,'Shift Master'!$A$5:$A$16,0)),"")</f>
        <v>0.375</v>
      </c>
      <c r="I328" s="17" t="n">
        <f aca="false">IFERROR(INDEX('Shift Master'!$D$5:$D$16,MATCH(G328,'Shift Master'!$A$5:$A$16,0)),"")</f>
        <v>0.708333333333333</v>
      </c>
      <c r="J328" s="16" t="n">
        <f aca="false">IFERROR(INDEX('Shift Master'!$E$5:$E$16,MATCH(G328,'Shift Master'!$A$5:$A$16,0)),"")</f>
        <v>60</v>
      </c>
      <c r="K328" s="16" t="n">
        <f aca="false">IFERROR(INDEX('Shift Master'!$G$5:$G$16,MATCH(G328,'Shift Master'!$A$5:$A$16,0)),0)</f>
        <v>7</v>
      </c>
      <c r="L328" s="16" t="s">
        <v>228</v>
      </c>
      <c r="M328" s="16" t="s">
        <v>229</v>
      </c>
      <c r="N328" s="16" t="str">
        <f aca="false">IF(COUNTIFS('Staffing Coverage'!$A$5:$A$12,E328,'Staffing Coverage'!$B$5:$B$12,G328)=0,"",IF(COUNTIFS($A$5:$A$10004,A328,$E$5:$E$10004,E328,$G$5:$G$10004,G328)&lt;INDEX('Staffing Coverage'!$C$5:$C$12,MATCH(1,('Staffing Coverage'!$A$5:$A$12=E328)*('Staffing Coverage'!$B$5:$B$12=G328),0)),"SHORT","OK"))</f>
        <v/>
      </c>
    </row>
    <row r="329" customFormat="false" ht="15" hidden="false" customHeight="false" outlineLevel="0" collapsed="false">
      <c r="A329" s="15" t="n">
        <v>46312</v>
      </c>
      <c r="B329" s="16" t="str">
        <f aca="false">TEXT(A329,"ddd")</f>
        <v>Sat</v>
      </c>
      <c r="C329" s="10" t="s">
        <v>150</v>
      </c>
      <c r="D329" s="16" t="str">
        <f aca="false">IFERROR(INDEX('Staff Master'!$B$5:$B$24,MATCH(C329,'Staff Master'!$A$5:$A$24,0)),"")</f>
        <v>Dr. Farah Idris</v>
      </c>
      <c r="E329" s="16" t="str">
        <f aca="false">IFERROR(INDEX('Staff Master'!$D$5:$D$24,MATCH(C329,'Staff Master'!$A$5:$A$24,0)),"")</f>
        <v>Dental</v>
      </c>
      <c r="F329" s="16" t="str">
        <f aca="false">IFERROR(INDEX('Staff Master'!$E$5:$E$24,MATCH(C329,'Staff Master'!$A$5:$A$24,0)),"")</f>
        <v>Dentist</v>
      </c>
      <c r="G329" s="10" t="s">
        <v>96</v>
      </c>
      <c r="H329" s="17" t="n">
        <f aca="false">IFERROR(INDEX('Shift Master'!$C$5:$C$16,MATCH(G329,'Shift Master'!$A$5:$A$16,0)),"")</f>
        <v>0.375</v>
      </c>
      <c r="I329" s="17" t="n">
        <f aca="false">IFERROR(INDEX('Shift Master'!$D$5:$D$16,MATCH(G329,'Shift Master'!$A$5:$A$16,0)),"")</f>
        <v>0.708333333333333</v>
      </c>
      <c r="J329" s="16" t="n">
        <f aca="false">IFERROR(INDEX('Shift Master'!$E$5:$E$16,MATCH(G329,'Shift Master'!$A$5:$A$16,0)),"")</f>
        <v>60</v>
      </c>
      <c r="K329" s="16" t="n">
        <f aca="false">IFERROR(INDEX('Shift Master'!$G$5:$G$16,MATCH(G329,'Shift Master'!$A$5:$A$16,0)),0)</f>
        <v>7</v>
      </c>
      <c r="L329" s="16" t="s">
        <v>228</v>
      </c>
      <c r="M329" s="16" t="s">
        <v>229</v>
      </c>
      <c r="N329" s="16" t="str">
        <f aca="false">IF(COUNTIFS('Staffing Coverage'!$A$5:$A$12,E329,'Staffing Coverage'!$B$5:$B$12,G329)=0,"",IF(COUNTIFS($A$5:$A$10004,A329,$E$5:$E$10004,E329,$G$5:$G$10004,G329)&lt;INDEX('Staffing Coverage'!$C$5:$C$12,MATCH(1,('Staffing Coverage'!$A$5:$A$12=E329)*('Staffing Coverage'!$B$5:$B$12=G329),0)),"SHORT","OK"))</f>
        <v/>
      </c>
    </row>
    <row r="330" customFormat="false" ht="15" hidden="false" customHeight="false" outlineLevel="0" collapsed="false">
      <c r="A330" s="15" t="n">
        <v>46312</v>
      </c>
      <c r="B330" s="16" t="str">
        <f aca="false">TEXT(A330,"ddd")</f>
        <v>Sat</v>
      </c>
      <c r="C330" s="10" t="s">
        <v>157</v>
      </c>
      <c r="D330" s="16" t="str">
        <f aca="false">IFERROR(INDEX('Staff Master'!$B$5:$B$24,MATCH(C330,'Staff Master'!$A$5:$A$24,0)),"")</f>
        <v>Dr. Youssef Nassar</v>
      </c>
      <c r="E330" s="16" t="str">
        <f aca="false">IFERROR(INDEX('Staff Master'!$D$5:$D$24,MATCH(C330,'Staff Master'!$A$5:$A$24,0)),"")</f>
        <v>General Practice</v>
      </c>
      <c r="F330" s="16" t="str">
        <f aca="false">IFERROR(INDEX('Staff Master'!$E$5:$E$24,MATCH(C330,'Staff Master'!$A$5:$A$24,0)),"")</f>
        <v>General Practitioner</v>
      </c>
      <c r="G330" s="10" t="s">
        <v>97</v>
      </c>
      <c r="H330" s="17" t="n">
        <f aca="false">IFERROR(INDEX('Shift Master'!$C$5:$C$16,MATCH(G330,'Shift Master'!$A$5:$A$16,0)),"")</f>
        <v>0</v>
      </c>
      <c r="I330" s="17" t="n">
        <f aca="false">IFERROR(INDEX('Shift Master'!$D$5:$D$16,MATCH(G330,'Shift Master'!$A$5:$A$16,0)),"")</f>
        <v>0</v>
      </c>
      <c r="J330" s="16" t="n">
        <f aca="false">IFERROR(INDEX('Shift Master'!$E$5:$E$16,MATCH(G330,'Shift Master'!$A$5:$A$16,0)),"")</f>
        <v>0</v>
      </c>
      <c r="K330" s="16" t="n">
        <f aca="false">IFERROR(INDEX('Shift Master'!$G$5:$G$16,MATCH(G330,'Shift Master'!$A$5:$A$16,0)),0)</f>
        <v>0</v>
      </c>
      <c r="L330" s="16" t="s">
        <v>228</v>
      </c>
      <c r="M330" s="16" t="s">
        <v>229</v>
      </c>
      <c r="N330" s="16" t="str">
        <f aca="false">IF(COUNTIFS('Staffing Coverage'!$A$5:$A$12,E330,'Staffing Coverage'!$B$5:$B$12,G330)=0,"",IF(COUNTIFS($A$5:$A$10004,A330,$E$5:$E$10004,E330,$G$5:$G$10004,G330)&lt;INDEX('Staffing Coverage'!$C$5:$C$12,MATCH(1,('Staffing Coverage'!$A$5:$A$12=E330)*('Staffing Coverage'!$B$5:$B$12=G330),0)),"SHORT","OK"))</f>
        <v/>
      </c>
    </row>
    <row r="331" customFormat="false" ht="15" hidden="false" customHeight="false" outlineLevel="0" collapsed="false">
      <c r="A331" s="15" t="n">
        <v>46312</v>
      </c>
      <c r="B331" s="16" t="str">
        <f aca="false">TEXT(A331,"ddd")</f>
        <v>Sat</v>
      </c>
      <c r="C331" s="10" t="s">
        <v>161</v>
      </c>
      <c r="D331" s="16" t="str">
        <f aca="false">IFERROR(INDEX('Staff Master'!$B$5:$B$24,MATCH(C331,'Staff Master'!$A$5:$A$24,0)),"")</f>
        <v>Grace Fernandez</v>
      </c>
      <c r="E331" s="16" t="str">
        <f aca="false">IFERROR(INDEX('Staff Master'!$D$5:$D$24,MATCH(C331,'Staff Master'!$A$5:$A$24,0)),"")</f>
        <v>Nursing</v>
      </c>
      <c r="F331" s="16" t="str">
        <f aca="false">IFERROR(INDEX('Staff Master'!$E$5:$E$24,MATCH(C331,'Staff Master'!$A$5:$A$24,0)),"")</f>
        <v>Nurse</v>
      </c>
      <c r="G331" s="10" t="s">
        <v>87</v>
      </c>
      <c r="H331" s="17" t="n">
        <f aca="false">IFERROR(INDEX('Shift Master'!$C$5:$C$16,MATCH(G331,'Shift Master'!$A$5:$A$16,0)),"")</f>
        <v>0.333333333333333</v>
      </c>
      <c r="I331" s="17" t="n">
        <f aca="false">IFERROR(INDEX('Shift Master'!$D$5:$D$16,MATCH(G331,'Shift Master'!$A$5:$A$16,0)),"")</f>
        <v>0.708333333333333</v>
      </c>
      <c r="J331" s="16" t="n">
        <f aca="false">IFERROR(INDEX('Shift Master'!$E$5:$E$16,MATCH(G331,'Shift Master'!$A$5:$A$16,0)),"")</f>
        <v>60</v>
      </c>
      <c r="K331" s="16" t="n">
        <f aca="false">IFERROR(INDEX('Shift Master'!$G$5:$G$16,MATCH(G331,'Shift Master'!$A$5:$A$16,0)),0)</f>
        <v>8</v>
      </c>
      <c r="L331" s="16" t="s">
        <v>228</v>
      </c>
      <c r="M331" s="16" t="s">
        <v>229</v>
      </c>
      <c r="N331" s="16" t="str">
        <f aca="false">IF(COUNTIFS('Staffing Coverage'!$A$5:$A$12,E331,'Staffing Coverage'!$B$5:$B$12,G331)=0,"",IF(COUNTIFS($A$5:$A$10004,A331,$E$5:$E$10004,E331,$G$5:$G$10004,G331)&lt;INDEX('Staffing Coverage'!$C$5:$C$12,MATCH(1,('Staffing Coverage'!$A$5:$A$12=E331)*('Staffing Coverage'!$B$5:$B$12=G331),0)),"SHORT","OK"))</f>
        <v>OK</v>
      </c>
    </row>
    <row r="332" customFormat="false" ht="15" hidden="false" customHeight="false" outlineLevel="0" collapsed="false">
      <c r="A332" s="15" t="n">
        <v>46312</v>
      </c>
      <c r="B332" s="16" t="str">
        <f aca="false">TEXT(A332,"ddd")</f>
        <v>Sat</v>
      </c>
      <c r="C332" s="10" t="s">
        <v>165</v>
      </c>
      <c r="D332" s="16" t="str">
        <f aca="false">IFERROR(INDEX('Staff Master'!$B$5:$B$24,MATCH(C332,'Staff Master'!$A$5:$A$24,0)),"")</f>
        <v>Priya Nair</v>
      </c>
      <c r="E332" s="16" t="str">
        <f aca="false">IFERROR(INDEX('Staff Master'!$D$5:$D$24,MATCH(C332,'Staff Master'!$A$5:$A$24,0)),"")</f>
        <v>Nursing</v>
      </c>
      <c r="F332" s="16" t="str">
        <f aca="false">IFERROR(INDEX('Staff Master'!$E$5:$E$24,MATCH(C332,'Staff Master'!$A$5:$A$24,0)),"")</f>
        <v>Nurse</v>
      </c>
      <c r="G332" s="10" t="s">
        <v>90</v>
      </c>
      <c r="H332" s="17" t="n">
        <f aca="false">IFERROR(INDEX('Shift Master'!$C$5:$C$16,MATCH(G332,'Shift Master'!$A$5:$A$16,0)),"")</f>
        <v>0.375</v>
      </c>
      <c r="I332" s="17" t="n">
        <f aca="false">IFERROR(INDEX('Shift Master'!$D$5:$D$16,MATCH(G332,'Shift Master'!$A$5:$A$16,0)),"")</f>
        <v>0.75</v>
      </c>
      <c r="J332" s="16" t="n">
        <f aca="false">IFERROR(INDEX('Shift Master'!$E$5:$E$16,MATCH(G332,'Shift Master'!$A$5:$A$16,0)),"")</f>
        <v>60</v>
      </c>
      <c r="K332" s="16" t="n">
        <f aca="false">IFERROR(INDEX('Shift Master'!$G$5:$G$16,MATCH(G332,'Shift Master'!$A$5:$A$16,0)),0)</f>
        <v>8</v>
      </c>
      <c r="L332" s="16" t="s">
        <v>228</v>
      </c>
      <c r="M332" s="16" t="s">
        <v>229</v>
      </c>
      <c r="N332" s="16" t="str">
        <f aca="false">IF(COUNTIFS('Staffing Coverage'!$A$5:$A$12,E332,'Staffing Coverage'!$B$5:$B$12,G332)=0,"",IF(COUNTIFS($A$5:$A$10004,A332,$E$5:$E$10004,E332,$G$5:$G$10004,G332)&lt;INDEX('Staffing Coverage'!$C$5:$C$12,MATCH(1,('Staffing Coverage'!$A$5:$A$12=E332)*('Staffing Coverage'!$B$5:$B$12=G332),0)),"SHORT","OK"))</f>
        <v>OK</v>
      </c>
    </row>
    <row r="333" customFormat="false" ht="15" hidden="false" customHeight="false" outlineLevel="0" collapsed="false">
      <c r="A333" s="15" t="n">
        <v>46312</v>
      </c>
      <c r="B333" s="16" t="str">
        <f aca="false">TEXT(A333,"ddd")</f>
        <v>Sat</v>
      </c>
      <c r="C333" s="10" t="s">
        <v>170</v>
      </c>
      <c r="D333" s="16" t="str">
        <f aca="false">IFERROR(INDEX('Staff Master'!$B$5:$B$24,MATCH(C333,'Staff Master'!$A$5:$A$24,0)),"")</f>
        <v>Maria Santos</v>
      </c>
      <c r="E333" s="16" t="str">
        <f aca="false">IFERROR(INDEX('Staff Master'!$D$5:$D$24,MATCH(C333,'Staff Master'!$A$5:$A$24,0)),"")</f>
        <v>Nursing</v>
      </c>
      <c r="F333" s="16" t="str">
        <f aca="false">IFERROR(INDEX('Staff Master'!$E$5:$E$24,MATCH(C333,'Staff Master'!$A$5:$A$24,0)),"")</f>
        <v>Nurse</v>
      </c>
      <c r="G333" s="10" t="s">
        <v>97</v>
      </c>
      <c r="H333" s="17" t="n">
        <f aca="false">IFERROR(INDEX('Shift Master'!$C$5:$C$16,MATCH(G333,'Shift Master'!$A$5:$A$16,0)),"")</f>
        <v>0</v>
      </c>
      <c r="I333" s="17" t="n">
        <f aca="false">IFERROR(INDEX('Shift Master'!$D$5:$D$16,MATCH(G333,'Shift Master'!$A$5:$A$16,0)),"")</f>
        <v>0</v>
      </c>
      <c r="J333" s="16" t="n">
        <f aca="false">IFERROR(INDEX('Shift Master'!$E$5:$E$16,MATCH(G333,'Shift Master'!$A$5:$A$16,0)),"")</f>
        <v>0</v>
      </c>
      <c r="K333" s="16" t="n">
        <f aca="false">IFERROR(INDEX('Shift Master'!$G$5:$G$16,MATCH(G333,'Shift Master'!$A$5:$A$16,0)),0)</f>
        <v>0</v>
      </c>
      <c r="L333" s="16" t="s">
        <v>228</v>
      </c>
      <c r="M333" s="16" t="s">
        <v>229</v>
      </c>
      <c r="N333" s="16" t="str">
        <f aca="false">IF(COUNTIFS('Staffing Coverage'!$A$5:$A$12,E333,'Staffing Coverage'!$B$5:$B$12,G333)=0,"",IF(COUNTIFS($A$5:$A$10004,A333,$E$5:$E$10004,E333,$G$5:$G$10004,G333)&lt;INDEX('Staffing Coverage'!$C$5:$C$12,MATCH(1,('Staffing Coverage'!$A$5:$A$12=E333)*('Staffing Coverage'!$B$5:$B$12=G333),0)),"SHORT","OK"))</f>
        <v/>
      </c>
    </row>
    <row r="334" customFormat="false" ht="15" hidden="false" customHeight="false" outlineLevel="0" collapsed="false">
      <c r="A334" s="15" t="n">
        <v>46312</v>
      </c>
      <c r="B334" s="16" t="str">
        <f aca="false">TEXT(A334,"ddd")</f>
        <v>Sat</v>
      </c>
      <c r="C334" s="10" t="s">
        <v>174</v>
      </c>
      <c r="D334" s="16" t="str">
        <f aca="false">IFERROR(INDEX('Staff Master'!$B$5:$B$24,MATCH(C334,'Staff Master'!$A$5:$A$24,0)),"")</f>
        <v>Aisha Al Shamsi</v>
      </c>
      <c r="E334" s="16" t="str">
        <f aca="false">IFERROR(INDEX('Staff Master'!$D$5:$D$24,MATCH(C334,'Staff Master'!$A$5:$A$24,0)),"")</f>
        <v>Reception</v>
      </c>
      <c r="F334" s="16" t="str">
        <f aca="false">IFERROR(INDEX('Staff Master'!$E$5:$E$24,MATCH(C334,'Staff Master'!$A$5:$A$24,0)),"")</f>
        <v>Receptionist</v>
      </c>
      <c r="G334" s="10" t="s">
        <v>87</v>
      </c>
      <c r="H334" s="17" t="n">
        <f aca="false">IFERROR(INDEX('Shift Master'!$C$5:$C$16,MATCH(G334,'Shift Master'!$A$5:$A$16,0)),"")</f>
        <v>0.333333333333333</v>
      </c>
      <c r="I334" s="17" t="n">
        <f aca="false">IFERROR(INDEX('Shift Master'!$D$5:$D$16,MATCH(G334,'Shift Master'!$A$5:$A$16,0)),"")</f>
        <v>0.708333333333333</v>
      </c>
      <c r="J334" s="16" t="n">
        <f aca="false">IFERROR(INDEX('Shift Master'!$E$5:$E$16,MATCH(G334,'Shift Master'!$A$5:$A$16,0)),"")</f>
        <v>60</v>
      </c>
      <c r="K334" s="16" t="n">
        <f aca="false">IFERROR(INDEX('Shift Master'!$G$5:$G$16,MATCH(G334,'Shift Master'!$A$5:$A$16,0)),0)</f>
        <v>8</v>
      </c>
      <c r="L334" s="16" t="s">
        <v>228</v>
      </c>
      <c r="M334" s="16" t="s">
        <v>229</v>
      </c>
      <c r="N334" s="16" t="str">
        <f aca="false">IF(COUNTIFS('Staffing Coverage'!$A$5:$A$12,E334,'Staffing Coverage'!$B$5:$B$12,G334)=0,"",IF(COUNTIFS($A$5:$A$10004,A334,$E$5:$E$10004,E334,$G$5:$G$10004,G334)&lt;INDEX('Staffing Coverage'!$C$5:$C$12,MATCH(1,('Staffing Coverage'!$A$5:$A$12=E334)*('Staffing Coverage'!$B$5:$B$12=G334),0)),"SHORT","OK"))</f>
        <v>SHORT</v>
      </c>
    </row>
    <row r="335" customFormat="false" ht="15" hidden="false" customHeight="false" outlineLevel="0" collapsed="false">
      <c r="A335" s="15" t="n">
        <v>46312</v>
      </c>
      <c r="B335" s="16" t="str">
        <f aca="false">TEXT(A335,"ddd")</f>
        <v>Sat</v>
      </c>
      <c r="C335" s="10" t="s">
        <v>179</v>
      </c>
      <c r="D335" s="16" t="str">
        <f aca="false">IFERROR(INDEX('Staff Master'!$B$5:$B$24,MATCH(C335,'Staff Master'!$A$5:$A$24,0)),"")</f>
        <v>John Dsouza</v>
      </c>
      <c r="E335" s="16" t="str">
        <f aca="false">IFERROR(INDEX('Staff Master'!$D$5:$D$24,MATCH(C335,'Staff Master'!$A$5:$A$24,0)),"")</f>
        <v>Reception</v>
      </c>
      <c r="F335" s="16" t="str">
        <f aca="false">IFERROR(INDEX('Staff Master'!$E$5:$E$24,MATCH(C335,'Staff Master'!$A$5:$A$24,0)),"")</f>
        <v>Receptionist</v>
      </c>
      <c r="G335" s="10" t="s">
        <v>90</v>
      </c>
      <c r="H335" s="17" t="n">
        <f aca="false">IFERROR(INDEX('Shift Master'!$C$5:$C$16,MATCH(G335,'Shift Master'!$A$5:$A$16,0)),"")</f>
        <v>0.375</v>
      </c>
      <c r="I335" s="17" t="n">
        <f aca="false">IFERROR(INDEX('Shift Master'!$D$5:$D$16,MATCH(G335,'Shift Master'!$A$5:$A$16,0)),"")</f>
        <v>0.75</v>
      </c>
      <c r="J335" s="16" t="n">
        <f aca="false">IFERROR(INDEX('Shift Master'!$E$5:$E$16,MATCH(G335,'Shift Master'!$A$5:$A$16,0)),"")</f>
        <v>60</v>
      </c>
      <c r="K335" s="16" t="n">
        <f aca="false">IFERROR(INDEX('Shift Master'!$G$5:$G$16,MATCH(G335,'Shift Master'!$A$5:$A$16,0)),0)</f>
        <v>8</v>
      </c>
      <c r="L335" s="16" t="s">
        <v>228</v>
      </c>
      <c r="M335" s="16" t="s">
        <v>229</v>
      </c>
      <c r="N335" s="16" t="str">
        <f aca="false">IF(COUNTIFS('Staffing Coverage'!$A$5:$A$12,E335,'Staffing Coverage'!$B$5:$B$12,G335)=0,"",IF(COUNTIFS($A$5:$A$10004,A335,$E$5:$E$10004,E335,$G$5:$G$10004,G335)&lt;INDEX('Staffing Coverage'!$C$5:$C$12,MATCH(1,('Staffing Coverage'!$A$5:$A$12=E335)*('Staffing Coverage'!$B$5:$B$12=G335),0)),"SHORT","OK"))</f>
        <v>SHORT</v>
      </c>
    </row>
    <row r="336" customFormat="false" ht="15" hidden="false" customHeight="false" outlineLevel="0" collapsed="false">
      <c r="A336" s="15" t="n">
        <v>46312</v>
      </c>
      <c r="B336" s="16" t="str">
        <f aca="false">TEXT(A336,"ddd")</f>
        <v>Sat</v>
      </c>
      <c r="C336" s="10" t="s">
        <v>184</v>
      </c>
      <c r="D336" s="16" t="str">
        <f aca="false">IFERROR(INDEX('Staff Master'!$B$5:$B$24,MATCH(C336,'Staff Master'!$A$5:$A$24,0)),"")</f>
        <v>Fatima Zahra</v>
      </c>
      <c r="E336" s="16" t="str">
        <f aca="false">IFERROR(INDEX('Staff Master'!$D$5:$D$24,MATCH(C336,'Staff Master'!$A$5:$A$24,0)),"")</f>
        <v>Reception</v>
      </c>
      <c r="F336" s="16" t="str">
        <f aca="false">IFERROR(INDEX('Staff Master'!$E$5:$E$24,MATCH(C336,'Staff Master'!$A$5:$A$24,0)),"")</f>
        <v>Receptionist</v>
      </c>
      <c r="G336" s="10" t="s">
        <v>97</v>
      </c>
      <c r="H336" s="17" t="n">
        <f aca="false">IFERROR(INDEX('Shift Master'!$C$5:$C$16,MATCH(G336,'Shift Master'!$A$5:$A$16,0)),"")</f>
        <v>0</v>
      </c>
      <c r="I336" s="17" t="n">
        <f aca="false">IFERROR(INDEX('Shift Master'!$D$5:$D$16,MATCH(G336,'Shift Master'!$A$5:$A$16,0)),"")</f>
        <v>0</v>
      </c>
      <c r="J336" s="16" t="n">
        <f aca="false">IFERROR(INDEX('Shift Master'!$E$5:$E$16,MATCH(G336,'Shift Master'!$A$5:$A$16,0)),"")</f>
        <v>0</v>
      </c>
      <c r="K336" s="16" t="n">
        <f aca="false">IFERROR(INDEX('Shift Master'!$G$5:$G$16,MATCH(G336,'Shift Master'!$A$5:$A$16,0)),0)</f>
        <v>0</v>
      </c>
      <c r="L336" s="16" t="s">
        <v>228</v>
      </c>
      <c r="M336" s="16" t="s">
        <v>229</v>
      </c>
      <c r="N336" s="16" t="str">
        <f aca="false">IF(COUNTIFS('Staffing Coverage'!$A$5:$A$12,E336,'Staffing Coverage'!$B$5:$B$12,G336)=0,"",IF(COUNTIFS($A$5:$A$10004,A336,$E$5:$E$10004,E336,$G$5:$G$10004,G336)&lt;INDEX('Staffing Coverage'!$C$5:$C$12,MATCH(1,('Staffing Coverage'!$A$5:$A$12=E336)*('Staffing Coverage'!$B$5:$B$12=G336),0)),"SHORT","OK"))</f>
        <v/>
      </c>
    </row>
    <row r="337" customFormat="false" ht="15" hidden="false" customHeight="false" outlineLevel="0" collapsed="false">
      <c r="A337" s="15" t="n">
        <v>46312</v>
      </c>
      <c r="B337" s="16" t="str">
        <f aca="false">TEXT(A337,"ddd")</f>
        <v>Sat</v>
      </c>
      <c r="C337" s="10" t="s">
        <v>188</v>
      </c>
      <c r="D337" s="16" t="str">
        <f aca="false">IFERROR(INDEX('Staff Master'!$B$5:$B$24,MATCH(C337,'Staff Master'!$A$5:$A$24,0)),"")</f>
        <v>Ana Reyes</v>
      </c>
      <c r="E337" s="16" t="str">
        <f aca="false">IFERROR(INDEX('Staff Master'!$D$5:$D$24,MATCH(C337,'Staff Master'!$A$5:$A$24,0)),"")</f>
        <v>Dental</v>
      </c>
      <c r="F337" s="16" t="str">
        <f aca="false">IFERROR(INDEX('Staff Master'!$E$5:$E$24,MATCH(C337,'Staff Master'!$A$5:$A$24,0)),"")</f>
        <v>Dental Assistant</v>
      </c>
      <c r="G337" s="10" t="s">
        <v>87</v>
      </c>
      <c r="H337" s="17" t="n">
        <f aca="false">IFERROR(INDEX('Shift Master'!$C$5:$C$16,MATCH(G337,'Shift Master'!$A$5:$A$16,0)),"")</f>
        <v>0.333333333333333</v>
      </c>
      <c r="I337" s="17" t="n">
        <f aca="false">IFERROR(INDEX('Shift Master'!$D$5:$D$16,MATCH(G337,'Shift Master'!$A$5:$A$16,0)),"")</f>
        <v>0.708333333333333</v>
      </c>
      <c r="J337" s="16" t="n">
        <f aca="false">IFERROR(INDEX('Shift Master'!$E$5:$E$16,MATCH(G337,'Shift Master'!$A$5:$A$16,0)),"")</f>
        <v>60</v>
      </c>
      <c r="K337" s="16" t="n">
        <f aca="false">IFERROR(INDEX('Shift Master'!$G$5:$G$16,MATCH(G337,'Shift Master'!$A$5:$A$16,0)),0)</f>
        <v>8</v>
      </c>
      <c r="L337" s="16" t="s">
        <v>228</v>
      </c>
      <c r="M337" s="16" t="s">
        <v>229</v>
      </c>
      <c r="N337" s="16" t="str">
        <f aca="false">IF(COUNTIFS('Staffing Coverage'!$A$5:$A$12,E337,'Staffing Coverage'!$B$5:$B$12,G337)=0,"",IF(COUNTIFS($A$5:$A$10004,A337,$E$5:$E$10004,E337,$G$5:$G$10004,G337)&lt;INDEX('Staffing Coverage'!$C$5:$C$12,MATCH(1,('Staffing Coverage'!$A$5:$A$12=E337)*('Staffing Coverage'!$B$5:$B$12=G337),0)),"SHORT","OK"))</f>
        <v>OK</v>
      </c>
    </row>
    <row r="338" customFormat="false" ht="15" hidden="false" customHeight="false" outlineLevel="0" collapsed="false">
      <c r="A338" s="15" t="n">
        <v>46312</v>
      </c>
      <c r="B338" s="16" t="str">
        <f aca="false">TEXT(A338,"ddd")</f>
        <v>Sat</v>
      </c>
      <c r="C338" s="10" t="s">
        <v>192</v>
      </c>
      <c r="D338" s="16" t="str">
        <f aca="false">IFERROR(INDEX('Staff Master'!$B$5:$B$24,MATCH(C338,'Staff Master'!$A$5:$A$24,0)),"")</f>
        <v>Noor Hassan</v>
      </c>
      <c r="E338" s="16" t="str">
        <f aca="false">IFERROR(INDEX('Staff Master'!$D$5:$D$24,MATCH(C338,'Staff Master'!$A$5:$A$24,0)),"")</f>
        <v>Dental</v>
      </c>
      <c r="F338" s="16" t="str">
        <f aca="false">IFERROR(INDEX('Staff Master'!$E$5:$E$24,MATCH(C338,'Staff Master'!$A$5:$A$24,0)),"")</f>
        <v>Dental Assistant</v>
      </c>
      <c r="G338" s="10" t="s">
        <v>97</v>
      </c>
      <c r="H338" s="17" t="n">
        <f aca="false">IFERROR(INDEX('Shift Master'!$C$5:$C$16,MATCH(G338,'Shift Master'!$A$5:$A$16,0)),"")</f>
        <v>0</v>
      </c>
      <c r="I338" s="17" t="n">
        <f aca="false">IFERROR(INDEX('Shift Master'!$D$5:$D$16,MATCH(G338,'Shift Master'!$A$5:$A$16,0)),"")</f>
        <v>0</v>
      </c>
      <c r="J338" s="16" t="n">
        <f aca="false">IFERROR(INDEX('Shift Master'!$E$5:$E$16,MATCH(G338,'Shift Master'!$A$5:$A$16,0)),"")</f>
        <v>0</v>
      </c>
      <c r="K338" s="16" t="n">
        <f aca="false">IFERROR(INDEX('Shift Master'!$G$5:$G$16,MATCH(G338,'Shift Master'!$A$5:$A$16,0)),0)</f>
        <v>0</v>
      </c>
      <c r="L338" s="16" t="s">
        <v>228</v>
      </c>
      <c r="M338" s="16" t="s">
        <v>229</v>
      </c>
      <c r="N338" s="16" t="str">
        <f aca="false">IF(COUNTIFS('Staffing Coverage'!$A$5:$A$12,E338,'Staffing Coverage'!$B$5:$B$12,G338)=0,"",IF(COUNTIFS($A$5:$A$10004,A338,$E$5:$E$10004,E338,$G$5:$G$10004,G338)&lt;INDEX('Staffing Coverage'!$C$5:$C$12,MATCH(1,('Staffing Coverage'!$A$5:$A$12=E338)*('Staffing Coverage'!$B$5:$B$12=G338),0)),"SHORT","OK"))</f>
        <v/>
      </c>
    </row>
    <row r="339" customFormat="false" ht="15" hidden="false" customHeight="false" outlineLevel="0" collapsed="false">
      <c r="A339" s="15" t="n">
        <v>46312</v>
      </c>
      <c r="B339" s="16" t="str">
        <f aca="false">TEXT(A339,"ddd")</f>
        <v>Sat</v>
      </c>
      <c r="C339" s="10" t="s">
        <v>196</v>
      </c>
      <c r="D339" s="16" t="str">
        <f aca="false">IFERROR(INDEX('Staff Master'!$B$5:$B$24,MATCH(C339,'Staff Master'!$A$5:$A$24,0)),"")</f>
        <v>Karan Mehta</v>
      </c>
      <c r="E339" s="16" t="str">
        <f aca="false">IFERROR(INDEX('Staff Master'!$D$5:$D$24,MATCH(C339,'Staff Master'!$A$5:$A$24,0)),"")</f>
        <v>Laser</v>
      </c>
      <c r="F339" s="16" t="str">
        <f aca="false">IFERROR(INDEX('Staff Master'!$E$5:$E$24,MATCH(C339,'Staff Master'!$A$5:$A$24,0)),"")</f>
        <v>Laser Technician</v>
      </c>
      <c r="G339" s="10" t="s">
        <v>90</v>
      </c>
      <c r="H339" s="17" t="n">
        <f aca="false">IFERROR(INDEX('Shift Master'!$C$5:$C$16,MATCH(G339,'Shift Master'!$A$5:$A$16,0)),"")</f>
        <v>0.375</v>
      </c>
      <c r="I339" s="17" t="n">
        <f aca="false">IFERROR(INDEX('Shift Master'!$D$5:$D$16,MATCH(G339,'Shift Master'!$A$5:$A$16,0)),"")</f>
        <v>0.75</v>
      </c>
      <c r="J339" s="16" t="n">
        <f aca="false">IFERROR(INDEX('Shift Master'!$E$5:$E$16,MATCH(G339,'Shift Master'!$A$5:$A$16,0)),"")</f>
        <v>60</v>
      </c>
      <c r="K339" s="16" t="n">
        <f aca="false">IFERROR(INDEX('Shift Master'!$G$5:$G$16,MATCH(G339,'Shift Master'!$A$5:$A$16,0)),0)</f>
        <v>8</v>
      </c>
      <c r="L339" s="16" t="s">
        <v>228</v>
      </c>
      <c r="M339" s="16" t="s">
        <v>229</v>
      </c>
      <c r="N339" s="16" t="str">
        <f aca="false">IF(COUNTIFS('Staffing Coverage'!$A$5:$A$12,E339,'Staffing Coverage'!$B$5:$B$12,G339)=0,"",IF(COUNTIFS($A$5:$A$10004,A339,$E$5:$E$10004,E339,$G$5:$G$10004,G339)&lt;INDEX('Staffing Coverage'!$C$5:$C$12,MATCH(1,('Staffing Coverage'!$A$5:$A$12=E339)*('Staffing Coverage'!$B$5:$B$12=G339),0)),"SHORT","OK"))</f>
        <v/>
      </c>
    </row>
    <row r="340" customFormat="false" ht="15" hidden="false" customHeight="false" outlineLevel="0" collapsed="false">
      <c r="A340" s="15" t="n">
        <v>46312</v>
      </c>
      <c r="B340" s="16" t="str">
        <f aca="false">TEXT(A340,"ddd")</f>
        <v>Sat</v>
      </c>
      <c r="C340" s="10" t="s">
        <v>200</v>
      </c>
      <c r="D340" s="16" t="str">
        <f aca="false">IFERROR(INDEX('Staff Master'!$B$5:$B$24,MATCH(C340,'Staff Master'!$A$5:$A$24,0)),"")</f>
        <v>Imran Sheikh</v>
      </c>
      <c r="E340" s="16" t="str">
        <f aca="false">IFERROR(INDEX('Staff Master'!$D$5:$D$24,MATCH(C340,'Staff Master'!$A$5:$A$24,0)),"")</f>
        <v>Dental Laboratory</v>
      </c>
      <c r="F340" s="16" t="str">
        <f aca="false">IFERROR(INDEX('Staff Master'!$E$5:$E$24,MATCH(C340,'Staff Master'!$A$5:$A$24,0)),"")</f>
        <v>Dental Technician</v>
      </c>
      <c r="G340" s="10" t="s">
        <v>97</v>
      </c>
      <c r="H340" s="17" t="n">
        <f aca="false">IFERROR(INDEX('Shift Master'!$C$5:$C$16,MATCH(G340,'Shift Master'!$A$5:$A$16,0)),"")</f>
        <v>0</v>
      </c>
      <c r="I340" s="17" t="n">
        <f aca="false">IFERROR(INDEX('Shift Master'!$D$5:$D$16,MATCH(G340,'Shift Master'!$A$5:$A$16,0)),"")</f>
        <v>0</v>
      </c>
      <c r="J340" s="16" t="n">
        <f aca="false">IFERROR(INDEX('Shift Master'!$E$5:$E$16,MATCH(G340,'Shift Master'!$A$5:$A$16,0)),"")</f>
        <v>0</v>
      </c>
      <c r="K340" s="16" t="n">
        <f aca="false">IFERROR(INDEX('Shift Master'!$G$5:$G$16,MATCH(G340,'Shift Master'!$A$5:$A$16,0)),0)</f>
        <v>0</v>
      </c>
      <c r="L340" s="16" t="s">
        <v>228</v>
      </c>
      <c r="M340" s="16" t="s">
        <v>229</v>
      </c>
      <c r="N340" s="16" t="str">
        <f aca="false">IF(COUNTIFS('Staffing Coverage'!$A$5:$A$12,E340,'Staffing Coverage'!$B$5:$B$12,G340)=0,"",IF(COUNTIFS($A$5:$A$10004,A340,$E$5:$E$10004,E340,$G$5:$G$10004,G340)&lt;INDEX('Staffing Coverage'!$C$5:$C$12,MATCH(1,('Staffing Coverage'!$A$5:$A$12=E340)*('Staffing Coverage'!$B$5:$B$12=G340),0)),"SHORT","OK"))</f>
        <v/>
      </c>
    </row>
    <row r="341" customFormat="false" ht="15" hidden="false" customHeight="false" outlineLevel="0" collapsed="false">
      <c r="A341" s="15" t="n">
        <v>46312</v>
      </c>
      <c r="B341" s="16" t="str">
        <f aca="false">TEXT(A341,"ddd")</f>
        <v>Sat</v>
      </c>
      <c r="C341" s="10" t="s">
        <v>204</v>
      </c>
      <c r="D341" s="16" t="str">
        <f aca="false">IFERROR(INDEX('Staff Master'!$B$5:$B$24,MATCH(C341,'Staff Master'!$A$5:$A$24,0)),"")</f>
        <v>Josephine Cruz</v>
      </c>
      <c r="E341" s="16" t="str">
        <f aca="false">IFERROR(INDEX('Staff Master'!$D$5:$D$24,MATCH(C341,'Staff Master'!$A$5:$A$24,0)),"")</f>
        <v>CSSD</v>
      </c>
      <c r="F341" s="16" t="str">
        <f aca="false">IFERROR(INDEX('Staff Master'!$E$5:$E$24,MATCH(C341,'Staff Master'!$A$5:$A$24,0)),"")</f>
        <v>CSSD Technician</v>
      </c>
      <c r="G341" s="10" t="s">
        <v>87</v>
      </c>
      <c r="H341" s="17" t="n">
        <f aca="false">IFERROR(INDEX('Shift Master'!$C$5:$C$16,MATCH(G341,'Shift Master'!$A$5:$A$16,0)),"")</f>
        <v>0.333333333333333</v>
      </c>
      <c r="I341" s="17" t="n">
        <f aca="false">IFERROR(INDEX('Shift Master'!$D$5:$D$16,MATCH(G341,'Shift Master'!$A$5:$A$16,0)),"")</f>
        <v>0.708333333333333</v>
      </c>
      <c r="J341" s="16" t="n">
        <f aca="false">IFERROR(INDEX('Shift Master'!$E$5:$E$16,MATCH(G341,'Shift Master'!$A$5:$A$16,0)),"")</f>
        <v>60</v>
      </c>
      <c r="K341" s="16" t="n">
        <f aca="false">IFERROR(INDEX('Shift Master'!$G$5:$G$16,MATCH(G341,'Shift Master'!$A$5:$A$16,0)),0)</f>
        <v>8</v>
      </c>
      <c r="L341" s="16" t="s">
        <v>228</v>
      </c>
      <c r="M341" s="16" t="s">
        <v>229</v>
      </c>
      <c r="N341" s="16" t="str">
        <f aca="false">IF(COUNTIFS('Staffing Coverage'!$A$5:$A$12,E341,'Staffing Coverage'!$B$5:$B$12,G341)=0,"",IF(COUNTIFS($A$5:$A$10004,A341,$E$5:$E$10004,E341,$G$5:$G$10004,G341)&lt;INDEX('Staffing Coverage'!$C$5:$C$12,MATCH(1,('Staffing Coverage'!$A$5:$A$12=E341)*('Staffing Coverage'!$B$5:$B$12=G341),0)),"SHORT","OK"))</f>
        <v>OK</v>
      </c>
    </row>
    <row r="342" customFormat="false" ht="15" hidden="false" customHeight="false" outlineLevel="0" collapsed="false">
      <c r="A342" s="15" t="n">
        <v>46312</v>
      </c>
      <c r="B342" s="16" t="str">
        <f aca="false">TEXT(A342,"ddd")</f>
        <v>Sat</v>
      </c>
      <c r="C342" s="10" t="s">
        <v>208</v>
      </c>
      <c r="D342" s="16" t="str">
        <f aca="false">IFERROR(INDEX('Staff Master'!$B$5:$B$24,MATCH(C342,'Staff Master'!$A$5:$A$24,0)),"")</f>
        <v>Rosalyn Tan</v>
      </c>
      <c r="E342" s="16" t="str">
        <f aca="false">IFERROR(INDEX('Staff Master'!$D$5:$D$24,MATCH(C342,'Staff Master'!$A$5:$A$24,0)),"")</f>
        <v>Cleaning</v>
      </c>
      <c r="F342" s="16" t="str">
        <f aca="false">IFERROR(INDEX('Staff Master'!$E$5:$E$24,MATCH(C342,'Staff Master'!$A$5:$A$24,0)),"")</f>
        <v>Cleaner</v>
      </c>
      <c r="G342" s="10" t="s">
        <v>97</v>
      </c>
      <c r="H342" s="17" t="n">
        <f aca="false">IFERROR(INDEX('Shift Master'!$C$5:$C$16,MATCH(G342,'Shift Master'!$A$5:$A$16,0)),"")</f>
        <v>0</v>
      </c>
      <c r="I342" s="17" t="n">
        <f aca="false">IFERROR(INDEX('Shift Master'!$D$5:$D$16,MATCH(G342,'Shift Master'!$A$5:$A$16,0)),"")</f>
        <v>0</v>
      </c>
      <c r="J342" s="16" t="n">
        <f aca="false">IFERROR(INDEX('Shift Master'!$E$5:$E$16,MATCH(G342,'Shift Master'!$A$5:$A$16,0)),"")</f>
        <v>0</v>
      </c>
      <c r="K342" s="16" t="n">
        <f aca="false">IFERROR(INDEX('Shift Master'!$G$5:$G$16,MATCH(G342,'Shift Master'!$A$5:$A$16,0)),0)</f>
        <v>0</v>
      </c>
      <c r="L342" s="16" t="s">
        <v>228</v>
      </c>
      <c r="M342" s="16" t="s">
        <v>229</v>
      </c>
      <c r="N342" s="16" t="str">
        <f aca="false">IF(COUNTIFS('Staffing Coverage'!$A$5:$A$12,E342,'Staffing Coverage'!$B$5:$B$12,G342)=0,"",IF(COUNTIFS($A$5:$A$10004,A342,$E$5:$E$10004,E342,$G$5:$G$10004,G342)&lt;INDEX('Staffing Coverage'!$C$5:$C$12,MATCH(1,('Staffing Coverage'!$A$5:$A$12=E342)*('Staffing Coverage'!$B$5:$B$12=G342),0)),"SHORT","OK"))</f>
        <v/>
      </c>
    </row>
    <row r="343" customFormat="false" ht="15" hidden="false" customHeight="false" outlineLevel="0" collapsed="false">
      <c r="A343" s="15" t="n">
        <v>46312</v>
      </c>
      <c r="B343" s="16" t="str">
        <f aca="false">TEXT(A343,"ddd")</f>
        <v>Sat</v>
      </c>
      <c r="C343" s="10" t="s">
        <v>212</v>
      </c>
      <c r="D343" s="16" t="str">
        <f aca="false">IFERROR(INDEX('Staff Master'!$B$5:$B$24,MATCH(C343,'Staff Master'!$A$5:$A$24,0)),"")</f>
        <v>Hassan Baig</v>
      </c>
      <c r="E343" s="16" t="str">
        <f aca="false">IFERROR(INDEX('Staff Master'!$D$5:$D$24,MATCH(C343,'Staff Master'!$A$5:$A$24,0)),"")</f>
        <v>Facilities</v>
      </c>
      <c r="F343" s="16" t="str">
        <f aca="false">IFERROR(INDEX('Staff Master'!$E$5:$E$24,MATCH(C343,'Staff Master'!$A$5:$A$24,0)),"")</f>
        <v>Facility Manager</v>
      </c>
      <c r="G343" s="10" t="s">
        <v>90</v>
      </c>
      <c r="H343" s="17" t="n">
        <f aca="false">IFERROR(INDEX('Shift Master'!$C$5:$C$16,MATCH(G343,'Shift Master'!$A$5:$A$16,0)),"")</f>
        <v>0.375</v>
      </c>
      <c r="I343" s="17" t="n">
        <f aca="false">IFERROR(INDEX('Shift Master'!$D$5:$D$16,MATCH(G343,'Shift Master'!$A$5:$A$16,0)),"")</f>
        <v>0.75</v>
      </c>
      <c r="J343" s="16" t="n">
        <f aca="false">IFERROR(INDEX('Shift Master'!$E$5:$E$16,MATCH(G343,'Shift Master'!$A$5:$A$16,0)),"")</f>
        <v>60</v>
      </c>
      <c r="K343" s="16" t="n">
        <f aca="false">IFERROR(INDEX('Shift Master'!$G$5:$G$16,MATCH(G343,'Shift Master'!$A$5:$A$16,0)),0)</f>
        <v>8</v>
      </c>
      <c r="L343" s="16" t="s">
        <v>228</v>
      </c>
      <c r="M343" s="16" t="s">
        <v>229</v>
      </c>
      <c r="N343" s="16" t="str">
        <f aca="false">IF(COUNTIFS('Staffing Coverage'!$A$5:$A$12,E343,'Staffing Coverage'!$B$5:$B$12,G343)=0,"",IF(COUNTIFS($A$5:$A$10004,A343,$E$5:$E$10004,E343,$G$5:$G$10004,G343)&lt;INDEX('Staffing Coverage'!$C$5:$C$12,MATCH(1,('Staffing Coverage'!$A$5:$A$12=E343)*('Staffing Coverage'!$B$5:$B$12=G343),0)),"SHORT","OK"))</f>
        <v/>
      </c>
    </row>
    <row r="344" customFormat="false" ht="15" hidden="false" customHeight="false" outlineLevel="0" collapsed="false">
      <c r="A344" s="15" t="n">
        <v>46312</v>
      </c>
      <c r="B344" s="16" t="str">
        <f aca="false">TEXT(A344,"ddd")</f>
        <v>Sat</v>
      </c>
      <c r="C344" s="10" t="s">
        <v>178</v>
      </c>
      <c r="D344" s="16" t="str">
        <f aca="false">IFERROR(INDEX('Staff Master'!$B$5:$B$24,MATCH(C344,'Staff Master'!$A$5:$A$24,0)),"")</f>
        <v>Meera Pillai</v>
      </c>
      <c r="E344" s="16" t="str">
        <f aca="false">IFERROR(INDEX('Staff Master'!$D$5:$D$24,MATCH(C344,'Staff Master'!$A$5:$A$24,0)),"")</f>
        <v>HR</v>
      </c>
      <c r="F344" s="16" t="str">
        <f aca="false">IFERROR(INDEX('Staff Master'!$E$5:$E$24,MATCH(C344,'Staff Master'!$A$5:$A$24,0)),"")</f>
        <v>HR Executive</v>
      </c>
      <c r="G344" s="10" t="s">
        <v>97</v>
      </c>
      <c r="H344" s="17" t="n">
        <f aca="false">IFERROR(INDEX('Shift Master'!$C$5:$C$16,MATCH(G344,'Shift Master'!$A$5:$A$16,0)),"")</f>
        <v>0</v>
      </c>
      <c r="I344" s="17" t="n">
        <f aca="false">IFERROR(INDEX('Shift Master'!$D$5:$D$16,MATCH(G344,'Shift Master'!$A$5:$A$16,0)),"")</f>
        <v>0</v>
      </c>
      <c r="J344" s="16" t="n">
        <f aca="false">IFERROR(INDEX('Shift Master'!$E$5:$E$16,MATCH(G344,'Shift Master'!$A$5:$A$16,0)),"")</f>
        <v>0</v>
      </c>
      <c r="K344" s="16" t="n">
        <f aca="false">IFERROR(INDEX('Shift Master'!$G$5:$G$16,MATCH(G344,'Shift Master'!$A$5:$A$16,0)),0)</f>
        <v>0</v>
      </c>
      <c r="L344" s="16" t="s">
        <v>228</v>
      </c>
      <c r="M344" s="16" t="s">
        <v>229</v>
      </c>
      <c r="N344" s="16" t="str">
        <f aca="false">IF(COUNTIFS('Staffing Coverage'!$A$5:$A$12,E344,'Staffing Coverage'!$B$5:$B$12,G344)=0,"",IF(COUNTIFS($A$5:$A$10004,A344,$E$5:$E$10004,E344,$G$5:$G$10004,G344)&lt;INDEX('Staffing Coverage'!$C$5:$C$12,MATCH(1,('Staffing Coverage'!$A$5:$A$12=E344)*('Staffing Coverage'!$B$5:$B$12=G344),0)),"SHORT","OK"))</f>
        <v/>
      </c>
    </row>
    <row r="345" customFormat="false" ht="15" hidden="false" customHeight="false" outlineLevel="0" collapsed="false">
      <c r="A345" s="15" t="n">
        <v>46313</v>
      </c>
      <c r="B345" s="16" t="str">
        <f aca="false">TEXT(A345,"ddd")</f>
        <v>Sun</v>
      </c>
      <c r="C345" s="10" t="s">
        <v>128</v>
      </c>
      <c r="D345" s="16" t="str">
        <f aca="false">IFERROR(INDEX('Staff Master'!$B$5:$B$24,MATCH(C345,'Staff Master'!$A$5:$A$24,0)),"")</f>
        <v>Rashid Al Nuaimi</v>
      </c>
      <c r="E345" s="16" t="str">
        <f aca="false">IFERROR(INDEX('Staff Master'!$D$5:$D$24,MATCH(C345,'Staff Master'!$A$5:$A$24,0)),"")</f>
        <v>Management</v>
      </c>
      <c r="F345" s="16" t="str">
        <f aca="false">IFERROR(INDEX('Staff Master'!$E$5:$E$24,MATCH(C345,'Staff Master'!$A$5:$A$24,0)),"")</f>
        <v>CEO</v>
      </c>
      <c r="G345" s="10" t="s">
        <v>90</v>
      </c>
      <c r="H345" s="17" t="n">
        <f aca="false">IFERROR(INDEX('Shift Master'!$C$5:$C$16,MATCH(G345,'Shift Master'!$A$5:$A$16,0)),"")</f>
        <v>0.375</v>
      </c>
      <c r="I345" s="17" t="n">
        <f aca="false">IFERROR(INDEX('Shift Master'!$D$5:$D$16,MATCH(G345,'Shift Master'!$A$5:$A$16,0)),"")</f>
        <v>0.75</v>
      </c>
      <c r="J345" s="16" t="n">
        <f aca="false">IFERROR(INDEX('Shift Master'!$E$5:$E$16,MATCH(G345,'Shift Master'!$A$5:$A$16,0)),"")</f>
        <v>60</v>
      </c>
      <c r="K345" s="16" t="n">
        <f aca="false">IFERROR(INDEX('Shift Master'!$G$5:$G$16,MATCH(G345,'Shift Master'!$A$5:$A$16,0)),0)</f>
        <v>8</v>
      </c>
      <c r="L345" s="16" t="s">
        <v>228</v>
      </c>
      <c r="M345" s="16" t="s">
        <v>229</v>
      </c>
      <c r="N345" s="16" t="str">
        <f aca="false">IF(COUNTIFS('Staffing Coverage'!$A$5:$A$12,E345,'Staffing Coverage'!$B$5:$B$12,G345)=0,"",IF(COUNTIFS($A$5:$A$10004,A345,$E$5:$E$10004,E345,$G$5:$G$10004,G345)&lt;INDEX('Staffing Coverage'!$C$5:$C$12,MATCH(1,('Staffing Coverage'!$A$5:$A$12=E345)*('Staffing Coverage'!$B$5:$B$12=G345),0)),"SHORT","OK"))</f>
        <v/>
      </c>
    </row>
    <row r="346" customFormat="false" ht="15" hidden="false" customHeight="false" outlineLevel="0" collapsed="false">
      <c r="A346" s="15" t="n">
        <v>46313</v>
      </c>
      <c r="B346" s="16" t="str">
        <f aca="false">TEXT(A346,"ddd")</f>
        <v>Sun</v>
      </c>
      <c r="C346" s="10" t="s">
        <v>137</v>
      </c>
      <c r="D346" s="16" t="str">
        <f aca="false">IFERROR(INDEX('Staff Master'!$B$5:$B$24,MATCH(C346,'Staff Master'!$A$5:$A$24,0)),"")</f>
        <v>Dr. Sara Haddad</v>
      </c>
      <c r="E346" s="16" t="str">
        <f aca="false">IFERROR(INDEX('Staff Master'!$D$5:$D$24,MATCH(C346,'Staff Master'!$A$5:$A$24,0)),"")</f>
        <v>General Practice</v>
      </c>
      <c r="F346" s="16" t="str">
        <f aca="false">IFERROR(INDEX('Staff Master'!$E$5:$E$24,MATCH(C346,'Staff Master'!$A$5:$A$24,0)),"")</f>
        <v>Medical Director</v>
      </c>
      <c r="G346" s="10" t="s">
        <v>96</v>
      </c>
      <c r="H346" s="17" t="n">
        <f aca="false">IFERROR(INDEX('Shift Master'!$C$5:$C$16,MATCH(G346,'Shift Master'!$A$5:$A$16,0)),"")</f>
        <v>0.375</v>
      </c>
      <c r="I346" s="17" t="n">
        <f aca="false">IFERROR(INDEX('Shift Master'!$D$5:$D$16,MATCH(G346,'Shift Master'!$A$5:$A$16,0)),"")</f>
        <v>0.708333333333333</v>
      </c>
      <c r="J346" s="16" t="n">
        <f aca="false">IFERROR(INDEX('Shift Master'!$E$5:$E$16,MATCH(G346,'Shift Master'!$A$5:$A$16,0)),"")</f>
        <v>60</v>
      </c>
      <c r="K346" s="16" t="n">
        <f aca="false">IFERROR(INDEX('Shift Master'!$G$5:$G$16,MATCH(G346,'Shift Master'!$A$5:$A$16,0)),0)</f>
        <v>7</v>
      </c>
      <c r="L346" s="16" t="s">
        <v>228</v>
      </c>
      <c r="M346" s="16" t="s">
        <v>229</v>
      </c>
      <c r="N346" s="16" t="str">
        <f aca="false">IF(COUNTIFS('Staffing Coverage'!$A$5:$A$12,E346,'Staffing Coverage'!$B$5:$B$12,G346)=0,"",IF(COUNTIFS($A$5:$A$10004,A346,$E$5:$E$10004,E346,$G$5:$G$10004,G346)&lt;INDEX('Staffing Coverage'!$C$5:$C$12,MATCH(1,('Staffing Coverage'!$A$5:$A$12=E346)*('Staffing Coverage'!$B$5:$B$12=G346),0)),"SHORT","OK"))</f>
        <v/>
      </c>
    </row>
    <row r="347" customFormat="false" ht="15" hidden="false" customHeight="false" outlineLevel="0" collapsed="false">
      <c r="A347" s="15" t="n">
        <v>46313</v>
      </c>
      <c r="B347" s="16" t="str">
        <f aca="false">TEXT(A347,"ddd")</f>
        <v>Sun</v>
      </c>
      <c r="C347" s="10" t="s">
        <v>142</v>
      </c>
      <c r="D347" s="16" t="str">
        <f aca="false">IFERROR(INDEX('Staff Master'!$B$5:$B$24,MATCH(C347,'Staff Master'!$A$5:$A$24,0)),"")</f>
        <v>Dr. Omar Khalil</v>
      </c>
      <c r="E347" s="16" t="str">
        <f aca="false">IFERROR(INDEX('Staff Master'!$D$5:$D$24,MATCH(C347,'Staff Master'!$A$5:$A$24,0)),"")</f>
        <v>General Practice</v>
      </c>
      <c r="F347" s="16" t="str">
        <f aca="false">IFERROR(INDEX('Staff Master'!$E$5:$E$24,MATCH(C347,'Staff Master'!$A$5:$A$24,0)),"")</f>
        <v>Doctor</v>
      </c>
      <c r="G347" s="10" t="s">
        <v>96</v>
      </c>
      <c r="H347" s="17" t="n">
        <f aca="false">IFERROR(INDEX('Shift Master'!$C$5:$C$16,MATCH(G347,'Shift Master'!$A$5:$A$16,0)),"")</f>
        <v>0.375</v>
      </c>
      <c r="I347" s="17" t="n">
        <f aca="false">IFERROR(INDEX('Shift Master'!$D$5:$D$16,MATCH(G347,'Shift Master'!$A$5:$A$16,0)),"")</f>
        <v>0.708333333333333</v>
      </c>
      <c r="J347" s="16" t="n">
        <f aca="false">IFERROR(INDEX('Shift Master'!$E$5:$E$16,MATCH(G347,'Shift Master'!$A$5:$A$16,0)),"")</f>
        <v>60</v>
      </c>
      <c r="K347" s="16" t="n">
        <f aca="false">IFERROR(INDEX('Shift Master'!$G$5:$G$16,MATCH(G347,'Shift Master'!$A$5:$A$16,0)),0)</f>
        <v>7</v>
      </c>
      <c r="L347" s="16" t="s">
        <v>228</v>
      </c>
      <c r="M347" s="16" t="s">
        <v>229</v>
      </c>
      <c r="N347" s="16" t="str">
        <f aca="false">IF(COUNTIFS('Staffing Coverage'!$A$5:$A$12,E347,'Staffing Coverage'!$B$5:$B$12,G347)=0,"",IF(COUNTIFS($A$5:$A$10004,A347,$E$5:$E$10004,E347,$G$5:$G$10004,G347)&lt;INDEX('Staffing Coverage'!$C$5:$C$12,MATCH(1,('Staffing Coverage'!$A$5:$A$12=E347)*('Staffing Coverage'!$B$5:$B$12=G347),0)),"SHORT","OK"))</f>
        <v/>
      </c>
    </row>
    <row r="348" customFormat="false" ht="15" hidden="false" customHeight="false" outlineLevel="0" collapsed="false">
      <c r="A348" s="15" t="n">
        <v>46313</v>
      </c>
      <c r="B348" s="16" t="str">
        <f aca="false">TEXT(A348,"ddd")</f>
        <v>Sun</v>
      </c>
      <c r="C348" s="10" t="s">
        <v>146</v>
      </c>
      <c r="D348" s="16" t="str">
        <f aca="false">IFERROR(INDEX('Staff Master'!$B$5:$B$24,MATCH(C348,'Staff Master'!$A$5:$A$24,0)),"")</f>
        <v>Dr. Lina Abboud</v>
      </c>
      <c r="E348" s="16" t="str">
        <f aca="false">IFERROR(INDEX('Staff Master'!$D$5:$D$24,MATCH(C348,'Staff Master'!$A$5:$A$24,0)),"")</f>
        <v>Dental</v>
      </c>
      <c r="F348" s="16" t="str">
        <f aca="false">IFERROR(INDEX('Staff Master'!$E$5:$E$24,MATCH(C348,'Staff Master'!$A$5:$A$24,0)),"")</f>
        <v>Dentist</v>
      </c>
      <c r="G348" s="10" t="s">
        <v>96</v>
      </c>
      <c r="H348" s="17" t="n">
        <f aca="false">IFERROR(INDEX('Shift Master'!$C$5:$C$16,MATCH(G348,'Shift Master'!$A$5:$A$16,0)),"")</f>
        <v>0.375</v>
      </c>
      <c r="I348" s="17" t="n">
        <f aca="false">IFERROR(INDEX('Shift Master'!$D$5:$D$16,MATCH(G348,'Shift Master'!$A$5:$A$16,0)),"")</f>
        <v>0.708333333333333</v>
      </c>
      <c r="J348" s="16" t="n">
        <f aca="false">IFERROR(INDEX('Shift Master'!$E$5:$E$16,MATCH(G348,'Shift Master'!$A$5:$A$16,0)),"")</f>
        <v>60</v>
      </c>
      <c r="K348" s="16" t="n">
        <f aca="false">IFERROR(INDEX('Shift Master'!$G$5:$G$16,MATCH(G348,'Shift Master'!$A$5:$A$16,0)),0)</f>
        <v>7</v>
      </c>
      <c r="L348" s="16" t="s">
        <v>228</v>
      </c>
      <c r="M348" s="16" t="s">
        <v>229</v>
      </c>
      <c r="N348" s="16" t="str">
        <f aca="false">IF(COUNTIFS('Staffing Coverage'!$A$5:$A$12,E348,'Staffing Coverage'!$B$5:$B$12,G348)=0,"",IF(COUNTIFS($A$5:$A$10004,A348,$E$5:$E$10004,E348,$G$5:$G$10004,G348)&lt;INDEX('Staffing Coverage'!$C$5:$C$12,MATCH(1,('Staffing Coverage'!$A$5:$A$12=E348)*('Staffing Coverage'!$B$5:$B$12=G348),0)),"SHORT","OK"))</f>
        <v/>
      </c>
    </row>
    <row r="349" customFormat="false" ht="15" hidden="false" customHeight="false" outlineLevel="0" collapsed="false">
      <c r="A349" s="15" t="n">
        <v>46313</v>
      </c>
      <c r="B349" s="16" t="str">
        <f aca="false">TEXT(A349,"ddd")</f>
        <v>Sun</v>
      </c>
      <c r="C349" s="10" t="s">
        <v>150</v>
      </c>
      <c r="D349" s="16" t="str">
        <f aca="false">IFERROR(INDEX('Staff Master'!$B$5:$B$24,MATCH(C349,'Staff Master'!$A$5:$A$24,0)),"")</f>
        <v>Dr. Farah Idris</v>
      </c>
      <c r="E349" s="16" t="str">
        <f aca="false">IFERROR(INDEX('Staff Master'!$D$5:$D$24,MATCH(C349,'Staff Master'!$A$5:$A$24,0)),"")</f>
        <v>Dental</v>
      </c>
      <c r="F349" s="16" t="str">
        <f aca="false">IFERROR(INDEX('Staff Master'!$E$5:$E$24,MATCH(C349,'Staff Master'!$A$5:$A$24,0)),"")</f>
        <v>Dentist</v>
      </c>
      <c r="G349" s="10" t="s">
        <v>97</v>
      </c>
      <c r="H349" s="17" t="n">
        <f aca="false">IFERROR(INDEX('Shift Master'!$C$5:$C$16,MATCH(G349,'Shift Master'!$A$5:$A$16,0)),"")</f>
        <v>0</v>
      </c>
      <c r="I349" s="17" t="n">
        <f aca="false">IFERROR(INDEX('Shift Master'!$D$5:$D$16,MATCH(G349,'Shift Master'!$A$5:$A$16,0)),"")</f>
        <v>0</v>
      </c>
      <c r="J349" s="16" t="n">
        <f aca="false">IFERROR(INDEX('Shift Master'!$E$5:$E$16,MATCH(G349,'Shift Master'!$A$5:$A$16,0)),"")</f>
        <v>0</v>
      </c>
      <c r="K349" s="16" t="n">
        <f aca="false">IFERROR(INDEX('Shift Master'!$G$5:$G$16,MATCH(G349,'Shift Master'!$A$5:$A$16,0)),0)</f>
        <v>0</v>
      </c>
      <c r="L349" s="16" t="s">
        <v>228</v>
      </c>
      <c r="M349" s="16" t="s">
        <v>229</v>
      </c>
      <c r="N349" s="16" t="str">
        <f aca="false">IF(COUNTIFS('Staffing Coverage'!$A$5:$A$12,E349,'Staffing Coverage'!$B$5:$B$12,G349)=0,"",IF(COUNTIFS($A$5:$A$10004,A349,$E$5:$E$10004,E349,$G$5:$G$10004,G349)&lt;INDEX('Staffing Coverage'!$C$5:$C$12,MATCH(1,('Staffing Coverage'!$A$5:$A$12=E349)*('Staffing Coverage'!$B$5:$B$12=G349),0)),"SHORT","OK"))</f>
        <v/>
      </c>
    </row>
    <row r="350" customFormat="false" ht="15" hidden="false" customHeight="false" outlineLevel="0" collapsed="false">
      <c r="A350" s="15" t="n">
        <v>46313</v>
      </c>
      <c r="B350" s="16" t="str">
        <f aca="false">TEXT(A350,"ddd")</f>
        <v>Sun</v>
      </c>
      <c r="C350" s="10" t="s">
        <v>157</v>
      </c>
      <c r="D350" s="16" t="str">
        <f aca="false">IFERROR(INDEX('Staff Master'!$B$5:$B$24,MATCH(C350,'Staff Master'!$A$5:$A$24,0)),"")</f>
        <v>Dr. Youssef Nassar</v>
      </c>
      <c r="E350" s="16" t="str">
        <f aca="false">IFERROR(INDEX('Staff Master'!$D$5:$D$24,MATCH(C350,'Staff Master'!$A$5:$A$24,0)),"")</f>
        <v>General Practice</v>
      </c>
      <c r="F350" s="16" t="str">
        <f aca="false">IFERROR(INDEX('Staff Master'!$E$5:$E$24,MATCH(C350,'Staff Master'!$A$5:$A$24,0)),"")</f>
        <v>General Practitioner</v>
      </c>
      <c r="G350" s="10" t="s">
        <v>96</v>
      </c>
      <c r="H350" s="17" t="n">
        <f aca="false">IFERROR(INDEX('Shift Master'!$C$5:$C$16,MATCH(G350,'Shift Master'!$A$5:$A$16,0)),"")</f>
        <v>0.375</v>
      </c>
      <c r="I350" s="17" t="n">
        <f aca="false">IFERROR(INDEX('Shift Master'!$D$5:$D$16,MATCH(G350,'Shift Master'!$A$5:$A$16,0)),"")</f>
        <v>0.708333333333333</v>
      </c>
      <c r="J350" s="16" t="n">
        <f aca="false">IFERROR(INDEX('Shift Master'!$E$5:$E$16,MATCH(G350,'Shift Master'!$A$5:$A$16,0)),"")</f>
        <v>60</v>
      </c>
      <c r="K350" s="16" t="n">
        <f aca="false">IFERROR(INDEX('Shift Master'!$G$5:$G$16,MATCH(G350,'Shift Master'!$A$5:$A$16,0)),0)</f>
        <v>7</v>
      </c>
      <c r="L350" s="16" t="s">
        <v>228</v>
      </c>
      <c r="M350" s="16" t="s">
        <v>229</v>
      </c>
      <c r="N350" s="16" t="str">
        <f aca="false">IF(COUNTIFS('Staffing Coverage'!$A$5:$A$12,E350,'Staffing Coverage'!$B$5:$B$12,G350)=0,"",IF(COUNTIFS($A$5:$A$10004,A350,$E$5:$E$10004,E350,$G$5:$G$10004,G350)&lt;INDEX('Staffing Coverage'!$C$5:$C$12,MATCH(1,('Staffing Coverage'!$A$5:$A$12=E350)*('Staffing Coverage'!$B$5:$B$12=G350),0)),"SHORT","OK"))</f>
        <v/>
      </c>
    </row>
    <row r="351" customFormat="false" ht="15" hidden="false" customHeight="false" outlineLevel="0" collapsed="false">
      <c r="A351" s="15" t="n">
        <v>46313</v>
      </c>
      <c r="B351" s="16" t="str">
        <f aca="false">TEXT(A351,"ddd")</f>
        <v>Sun</v>
      </c>
      <c r="C351" s="10" t="s">
        <v>161</v>
      </c>
      <c r="D351" s="16" t="str">
        <f aca="false">IFERROR(INDEX('Staff Master'!$B$5:$B$24,MATCH(C351,'Staff Master'!$A$5:$A$24,0)),"")</f>
        <v>Grace Fernandez</v>
      </c>
      <c r="E351" s="16" t="str">
        <f aca="false">IFERROR(INDEX('Staff Master'!$D$5:$D$24,MATCH(C351,'Staff Master'!$A$5:$A$24,0)),"")</f>
        <v>Nursing</v>
      </c>
      <c r="F351" s="16" t="str">
        <f aca="false">IFERROR(INDEX('Staff Master'!$E$5:$E$24,MATCH(C351,'Staff Master'!$A$5:$A$24,0)),"")</f>
        <v>Nurse</v>
      </c>
      <c r="G351" s="10" t="s">
        <v>97</v>
      </c>
      <c r="H351" s="17" t="n">
        <f aca="false">IFERROR(INDEX('Shift Master'!$C$5:$C$16,MATCH(G351,'Shift Master'!$A$5:$A$16,0)),"")</f>
        <v>0</v>
      </c>
      <c r="I351" s="17" t="n">
        <f aca="false">IFERROR(INDEX('Shift Master'!$D$5:$D$16,MATCH(G351,'Shift Master'!$A$5:$A$16,0)),"")</f>
        <v>0</v>
      </c>
      <c r="J351" s="16" t="n">
        <f aca="false">IFERROR(INDEX('Shift Master'!$E$5:$E$16,MATCH(G351,'Shift Master'!$A$5:$A$16,0)),"")</f>
        <v>0</v>
      </c>
      <c r="K351" s="16" t="n">
        <f aca="false">IFERROR(INDEX('Shift Master'!$G$5:$G$16,MATCH(G351,'Shift Master'!$A$5:$A$16,0)),0)</f>
        <v>0</v>
      </c>
      <c r="L351" s="16" t="s">
        <v>228</v>
      </c>
      <c r="M351" s="16" t="s">
        <v>229</v>
      </c>
      <c r="N351" s="16" t="str">
        <f aca="false">IF(COUNTIFS('Staffing Coverage'!$A$5:$A$12,E351,'Staffing Coverage'!$B$5:$B$12,G351)=0,"",IF(COUNTIFS($A$5:$A$10004,A351,$E$5:$E$10004,E351,$G$5:$G$10004,G351)&lt;INDEX('Staffing Coverage'!$C$5:$C$12,MATCH(1,('Staffing Coverage'!$A$5:$A$12=E351)*('Staffing Coverage'!$B$5:$B$12=G351),0)),"SHORT","OK"))</f>
        <v/>
      </c>
    </row>
    <row r="352" customFormat="false" ht="15" hidden="false" customHeight="false" outlineLevel="0" collapsed="false">
      <c r="A352" s="15" t="n">
        <v>46313</v>
      </c>
      <c r="B352" s="16" t="str">
        <f aca="false">TEXT(A352,"ddd")</f>
        <v>Sun</v>
      </c>
      <c r="C352" s="10" t="s">
        <v>165</v>
      </c>
      <c r="D352" s="16" t="str">
        <f aca="false">IFERROR(INDEX('Staff Master'!$B$5:$B$24,MATCH(C352,'Staff Master'!$A$5:$A$24,0)),"")</f>
        <v>Priya Nair</v>
      </c>
      <c r="E352" s="16" t="str">
        <f aca="false">IFERROR(INDEX('Staff Master'!$D$5:$D$24,MATCH(C352,'Staff Master'!$A$5:$A$24,0)),"")</f>
        <v>Nursing</v>
      </c>
      <c r="F352" s="16" t="str">
        <f aca="false">IFERROR(INDEX('Staff Master'!$E$5:$E$24,MATCH(C352,'Staff Master'!$A$5:$A$24,0)),"")</f>
        <v>Nurse</v>
      </c>
      <c r="G352" s="10" t="s">
        <v>90</v>
      </c>
      <c r="H352" s="17" t="n">
        <f aca="false">IFERROR(INDEX('Shift Master'!$C$5:$C$16,MATCH(G352,'Shift Master'!$A$5:$A$16,0)),"")</f>
        <v>0.375</v>
      </c>
      <c r="I352" s="17" t="n">
        <f aca="false">IFERROR(INDEX('Shift Master'!$D$5:$D$16,MATCH(G352,'Shift Master'!$A$5:$A$16,0)),"")</f>
        <v>0.75</v>
      </c>
      <c r="J352" s="16" t="n">
        <f aca="false">IFERROR(INDEX('Shift Master'!$E$5:$E$16,MATCH(G352,'Shift Master'!$A$5:$A$16,0)),"")</f>
        <v>60</v>
      </c>
      <c r="K352" s="16" t="n">
        <f aca="false">IFERROR(INDEX('Shift Master'!$G$5:$G$16,MATCH(G352,'Shift Master'!$A$5:$A$16,0)),0)</f>
        <v>8</v>
      </c>
      <c r="L352" s="16" t="s">
        <v>228</v>
      </c>
      <c r="M352" s="16" t="s">
        <v>229</v>
      </c>
      <c r="N352" s="16" t="str">
        <f aca="false">IF(COUNTIFS('Staffing Coverage'!$A$5:$A$12,E352,'Staffing Coverage'!$B$5:$B$12,G352)=0,"",IF(COUNTIFS($A$5:$A$10004,A352,$E$5:$E$10004,E352,$G$5:$G$10004,G352)&lt;INDEX('Staffing Coverage'!$C$5:$C$12,MATCH(1,('Staffing Coverage'!$A$5:$A$12=E352)*('Staffing Coverage'!$B$5:$B$12=G352),0)),"SHORT","OK"))</f>
        <v>OK</v>
      </c>
    </row>
    <row r="353" customFormat="false" ht="15" hidden="false" customHeight="false" outlineLevel="0" collapsed="false">
      <c r="A353" s="15" t="n">
        <v>46313</v>
      </c>
      <c r="B353" s="16" t="str">
        <f aca="false">TEXT(A353,"ddd")</f>
        <v>Sun</v>
      </c>
      <c r="C353" s="10" t="s">
        <v>170</v>
      </c>
      <c r="D353" s="16" t="str">
        <f aca="false">IFERROR(INDEX('Staff Master'!$B$5:$B$24,MATCH(C353,'Staff Master'!$A$5:$A$24,0)),"")</f>
        <v>Maria Santos</v>
      </c>
      <c r="E353" s="16" t="str">
        <f aca="false">IFERROR(INDEX('Staff Master'!$D$5:$D$24,MATCH(C353,'Staff Master'!$A$5:$A$24,0)),"")</f>
        <v>Nursing</v>
      </c>
      <c r="F353" s="16" t="str">
        <f aca="false">IFERROR(INDEX('Staff Master'!$E$5:$E$24,MATCH(C353,'Staff Master'!$A$5:$A$24,0)),"")</f>
        <v>Nurse</v>
      </c>
      <c r="G353" s="10" t="s">
        <v>94</v>
      </c>
      <c r="H353" s="17" t="n">
        <f aca="false">IFERROR(INDEX('Shift Master'!$C$5:$C$16,MATCH(G353,'Shift Master'!$A$5:$A$16,0)),"")</f>
        <v>0.541666666666667</v>
      </c>
      <c r="I353" s="17" t="n">
        <f aca="false">IFERROR(INDEX('Shift Master'!$D$5:$D$16,MATCH(G353,'Shift Master'!$A$5:$A$16,0)),"")</f>
        <v>0.916666666666667</v>
      </c>
      <c r="J353" s="16" t="n">
        <f aca="false">IFERROR(INDEX('Shift Master'!$E$5:$E$16,MATCH(G353,'Shift Master'!$A$5:$A$16,0)),"")</f>
        <v>60</v>
      </c>
      <c r="K353" s="16" t="n">
        <f aca="false">IFERROR(INDEX('Shift Master'!$G$5:$G$16,MATCH(G353,'Shift Master'!$A$5:$A$16,0)),0)</f>
        <v>8</v>
      </c>
      <c r="L353" s="16" t="s">
        <v>228</v>
      </c>
      <c r="M353" s="16" t="s">
        <v>229</v>
      </c>
      <c r="N353" s="16" t="str">
        <f aca="false">IF(COUNTIFS('Staffing Coverage'!$A$5:$A$12,E353,'Staffing Coverage'!$B$5:$B$12,G353)=0,"",IF(COUNTIFS($A$5:$A$10004,A353,$E$5:$E$10004,E353,$G$5:$G$10004,G353)&lt;INDEX('Staffing Coverage'!$C$5:$C$12,MATCH(1,('Staffing Coverage'!$A$5:$A$12=E353)*('Staffing Coverage'!$B$5:$B$12=G353),0)),"SHORT","OK"))</f>
        <v/>
      </c>
    </row>
    <row r="354" customFormat="false" ht="15" hidden="false" customHeight="false" outlineLevel="0" collapsed="false">
      <c r="A354" s="15" t="n">
        <v>46313</v>
      </c>
      <c r="B354" s="16" t="str">
        <f aca="false">TEXT(A354,"ddd")</f>
        <v>Sun</v>
      </c>
      <c r="C354" s="10" t="s">
        <v>174</v>
      </c>
      <c r="D354" s="16" t="str">
        <f aca="false">IFERROR(INDEX('Staff Master'!$B$5:$B$24,MATCH(C354,'Staff Master'!$A$5:$A$24,0)),"")</f>
        <v>Aisha Al Shamsi</v>
      </c>
      <c r="E354" s="16" t="str">
        <f aca="false">IFERROR(INDEX('Staff Master'!$D$5:$D$24,MATCH(C354,'Staff Master'!$A$5:$A$24,0)),"")</f>
        <v>Reception</v>
      </c>
      <c r="F354" s="16" t="str">
        <f aca="false">IFERROR(INDEX('Staff Master'!$E$5:$E$24,MATCH(C354,'Staff Master'!$A$5:$A$24,0)),"")</f>
        <v>Receptionist</v>
      </c>
      <c r="G354" s="10" t="s">
        <v>87</v>
      </c>
      <c r="H354" s="17" t="n">
        <f aca="false">IFERROR(INDEX('Shift Master'!$C$5:$C$16,MATCH(G354,'Shift Master'!$A$5:$A$16,0)),"")</f>
        <v>0.333333333333333</v>
      </c>
      <c r="I354" s="17" t="n">
        <f aca="false">IFERROR(INDEX('Shift Master'!$D$5:$D$16,MATCH(G354,'Shift Master'!$A$5:$A$16,0)),"")</f>
        <v>0.708333333333333</v>
      </c>
      <c r="J354" s="16" t="n">
        <f aca="false">IFERROR(INDEX('Shift Master'!$E$5:$E$16,MATCH(G354,'Shift Master'!$A$5:$A$16,0)),"")</f>
        <v>60</v>
      </c>
      <c r="K354" s="16" t="n">
        <f aca="false">IFERROR(INDEX('Shift Master'!$G$5:$G$16,MATCH(G354,'Shift Master'!$A$5:$A$16,0)),0)</f>
        <v>8</v>
      </c>
      <c r="L354" s="16" t="s">
        <v>228</v>
      </c>
      <c r="M354" s="16" t="s">
        <v>229</v>
      </c>
      <c r="N354" s="16" t="str">
        <f aca="false">IF(COUNTIFS('Staffing Coverage'!$A$5:$A$12,E354,'Staffing Coverage'!$B$5:$B$12,G354)=0,"",IF(COUNTIFS($A$5:$A$10004,A354,$E$5:$E$10004,E354,$G$5:$G$10004,G354)&lt;INDEX('Staffing Coverage'!$C$5:$C$12,MATCH(1,('Staffing Coverage'!$A$5:$A$12=E354)*('Staffing Coverage'!$B$5:$B$12=G354),0)),"SHORT","OK"))</f>
        <v>SHORT</v>
      </c>
    </row>
    <row r="355" customFormat="false" ht="15" hidden="false" customHeight="false" outlineLevel="0" collapsed="false">
      <c r="A355" s="15" t="n">
        <v>46313</v>
      </c>
      <c r="B355" s="16" t="str">
        <f aca="false">TEXT(A355,"ddd")</f>
        <v>Sun</v>
      </c>
      <c r="C355" s="10" t="s">
        <v>179</v>
      </c>
      <c r="D355" s="16" t="str">
        <f aca="false">IFERROR(INDEX('Staff Master'!$B$5:$B$24,MATCH(C355,'Staff Master'!$A$5:$A$24,0)),"")</f>
        <v>John Dsouza</v>
      </c>
      <c r="E355" s="16" t="str">
        <f aca="false">IFERROR(INDEX('Staff Master'!$D$5:$D$24,MATCH(C355,'Staff Master'!$A$5:$A$24,0)),"")</f>
        <v>Reception</v>
      </c>
      <c r="F355" s="16" t="str">
        <f aca="false">IFERROR(INDEX('Staff Master'!$E$5:$E$24,MATCH(C355,'Staff Master'!$A$5:$A$24,0)),"")</f>
        <v>Receptionist</v>
      </c>
      <c r="G355" s="10" t="s">
        <v>90</v>
      </c>
      <c r="H355" s="17" t="n">
        <f aca="false">IFERROR(INDEX('Shift Master'!$C$5:$C$16,MATCH(G355,'Shift Master'!$A$5:$A$16,0)),"")</f>
        <v>0.375</v>
      </c>
      <c r="I355" s="17" t="n">
        <f aca="false">IFERROR(INDEX('Shift Master'!$D$5:$D$16,MATCH(G355,'Shift Master'!$A$5:$A$16,0)),"")</f>
        <v>0.75</v>
      </c>
      <c r="J355" s="16" t="n">
        <f aca="false">IFERROR(INDEX('Shift Master'!$E$5:$E$16,MATCH(G355,'Shift Master'!$A$5:$A$16,0)),"")</f>
        <v>60</v>
      </c>
      <c r="K355" s="16" t="n">
        <f aca="false">IFERROR(INDEX('Shift Master'!$G$5:$G$16,MATCH(G355,'Shift Master'!$A$5:$A$16,0)),0)</f>
        <v>8</v>
      </c>
      <c r="L355" s="16" t="s">
        <v>228</v>
      </c>
      <c r="M355" s="16" t="s">
        <v>229</v>
      </c>
      <c r="N355" s="16" t="str">
        <f aca="false">IF(COUNTIFS('Staffing Coverage'!$A$5:$A$12,E355,'Staffing Coverage'!$B$5:$B$12,G355)=0,"",IF(COUNTIFS($A$5:$A$10004,A355,$E$5:$E$10004,E355,$G$5:$G$10004,G355)&lt;INDEX('Staffing Coverage'!$C$5:$C$12,MATCH(1,('Staffing Coverage'!$A$5:$A$12=E355)*('Staffing Coverage'!$B$5:$B$12=G355),0)),"SHORT","OK"))</f>
        <v>SHORT</v>
      </c>
    </row>
    <row r="356" customFormat="false" ht="15" hidden="false" customHeight="false" outlineLevel="0" collapsed="false">
      <c r="A356" s="15" t="n">
        <v>46313</v>
      </c>
      <c r="B356" s="16" t="str">
        <f aca="false">TEXT(A356,"ddd")</f>
        <v>Sun</v>
      </c>
      <c r="C356" s="10" t="s">
        <v>184</v>
      </c>
      <c r="D356" s="16" t="str">
        <f aca="false">IFERROR(INDEX('Staff Master'!$B$5:$B$24,MATCH(C356,'Staff Master'!$A$5:$A$24,0)),"")</f>
        <v>Fatima Zahra</v>
      </c>
      <c r="E356" s="16" t="str">
        <f aca="false">IFERROR(INDEX('Staff Master'!$D$5:$D$24,MATCH(C356,'Staff Master'!$A$5:$A$24,0)),"")</f>
        <v>Reception</v>
      </c>
      <c r="F356" s="16" t="str">
        <f aca="false">IFERROR(INDEX('Staff Master'!$E$5:$E$24,MATCH(C356,'Staff Master'!$A$5:$A$24,0)),"")</f>
        <v>Receptionist</v>
      </c>
      <c r="G356" s="10" t="s">
        <v>94</v>
      </c>
      <c r="H356" s="17" t="n">
        <f aca="false">IFERROR(INDEX('Shift Master'!$C$5:$C$16,MATCH(G356,'Shift Master'!$A$5:$A$16,0)),"")</f>
        <v>0.541666666666667</v>
      </c>
      <c r="I356" s="17" t="n">
        <f aca="false">IFERROR(INDEX('Shift Master'!$D$5:$D$16,MATCH(G356,'Shift Master'!$A$5:$A$16,0)),"")</f>
        <v>0.916666666666667</v>
      </c>
      <c r="J356" s="16" t="n">
        <f aca="false">IFERROR(INDEX('Shift Master'!$E$5:$E$16,MATCH(G356,'Shift Master'!$A$5:$A$16,0)),"")</f>
        <v>60</v>
      </c>
      <c r="K356" s="16" t="n">
        <f aca="false">IFERROR(INDEX('Shift Master'!$G$5:$G$16,MATCH(G356,'Shift Master'!$A$5:$A$16,0)),0)</f>
        <v>8</v>
      </c>
      <c r="L356" s="16" t="s">
        <v>228</v>
      </c>
      <c r="M356" s="16" t="s">
        <v>229</v>
      </c>
      <c r="N356" s="16" t="str">
        <f aca="false">IF(COUNTIFS('Staffing Coverage'!$A$5:$A$12,E356,'Staffing Coverage'!$B$5:$B$12,G356)=0,"",IF(COUNTIFS($A$5:$A$10004,A356,$E$5:$E$10004,E356,$G$5:$G$10004,G356)&lt;INDEX('Staffing Coverage'!$C$5:$C$12,MATCH(1,('Staffing Coverage'!$A$5:$A$12=E356)*('Staffing Coverage'!$B$5:$B$12=G356),0)),"SHORT","OK"))</f>
        <v>OK</v>
      </c>
    </row>
    <row r="357" customFormat="false" ht="15" hidden="false" customHeight="false" outlineLevel="0" collapsed="false">
      <c r="A357" s="15" t="n">
        <v>46313</v>
      </c>
      <c r="B357" s="16" t="str">
        <f aca="false">TEXT(A357,"ddd")</f>
        <v>Sun</v>
      </c>
      <c r="C357" s="10" t="s">
        <v>188</v>
      </c>
      <c r="D357" s="16" t="str">
        <f aca="false">IFERROR(INDEX('Staff Master'!$B$5:$B$24,MATCH(C357,'Staff Master'!$A$5:$A$24,0)),"")</f>
        <v>Ana Reyes</v>
      </c>
      <c r="E357" s="16" t="str">
        <f aca="false">IFERROR(INDEX('Staff Master'!$D$5:$D$24,MATCH(C357,'Staff Master'!$A$5:$A$24,0)),"")</f>
        <v>Dental</v>
      </c>
      <c r="F357" s="16" t="str">
        <f aca="false">IFERROR(INDEX('Staff Master'!$E$5:$E$24,MATCH(C357,'Staff Master'!$A$5:$A$24,0)),"")</f>
        <v>Dental Assistant</v>
      </c>
      <c r="G357" s="10" t="s">
        <v>97</v>
      </c>
      <c r="H357" s="17" t="n">
        <f aca="false">IFERROR(INDEX('Shift Master'!$C$5:$C$16,MATCH(G357,'Shift Master'!$A$5:$A$16,0)),"")</f>
        <v>0</v>
      </c>
      <c r="I357" s="17" t="n">
        <f aca="false">IFERROR(INDEX('Shift Master'!$D$5:$D$16,MATCH(G357,'Shift Master'!$A$5:$A$16,0)),"")</f>
        <v>0</v>
      </c>
      <c r="J357" s="16" t="n">
        <f aca="false">IFERROR(INDEX('Shift Master'!$E$5:$E$16,MATCH(G357,'Shift Master'!$A$5:$A$16,0)),"")</f>
        <v>0</v>
      </c>
      <c r="K357" s="16" t="n">
        <f aca="false">IFERROR(INDEX('Shift Master'!$G$5:$G$16,MATCH(G357,'Shift Master'!$A$5:$A$16,0)),0)</f>
        <v>0</v>
      </c>
      <c r="L357" s="16" t="s">
        <v>228</v>
      </c>
      <c r="M357" s="16" t="s">
        <v>229</v>
      </c>
      <c r="N357" s="16" t="str">
        <f aca="false">IF(COUNTIFS('Staffing Coverage'!$A$5:$A$12,E357,'Staffing Coverage'!$B$5:$B$12,G357)=0,"",IF(COUNTIFS($A$5:$A$10004,A357,$E$5:$E$10004,E357,$G$5:$G$10004,G357)&lt;INDEX('Staffing Coverage'!$C$5:$C$12,MATCH(1,('Staffing Coverage'!$A$5:$A$12=E357)*('Staffing Coverage'!$B$5:$B$12=G357),0)),"SHORT","OK"))</f>
        <v/>
      </c>
    </row>
    <row r="358" customFormat="false" ht="15" hidden="false" customHeight="false" outlineLevel="0" collapsed="false">
      <c r="A358" s="15" t="n">
        <v>46313</v>
      </c>
      <c r="B358" s="16" t="str">
        <f aca="false">TEXT(A358,"ddd")</f>
        <v>Sun</v>
      </c>
      <c r="C358" s="10" t="s">
        <v>192</v>
      </c>
      <c r="D358" s="16" t="str">
        <f aca="false">IFERROR(INDEX('Staff Master'!$B$5:$B$24,MATCH(C358,'Staff Master'!$A$5:$A$24,0)),"")</f>
        <v>Noor Hassan</v>
      </c>
      <c r="E358" s="16" t="str">
        <f aca="false">IFERROR(INDEX('Staff Master'!$D$5:$D$24,MATCH(C358,'Staff Master'!$A$5:$A$24,0)),"")</f>
        <v>Dental</v>
      </c>
      <c r="F358" s="16" t="str">
        <f aca="false">IFERROR(INDEX('Staff Master'!$E$5:$E$24,MATCH(C358,'Staff Master'!$A$5:$A$24,0)),"")</f>
        <v>Dental Assistant</v>
      </c>
      <c r="G358" s="10" t="s">
        <v>90</v>
      </c>
      <c r="H358" s="17" t="n">
        <f aca="false">IFERROR(INDEX('Shift Master'!$C$5:$C$16,MATCH(G358,'Shift Master'!$A$5:$A$16,0)),"")</f>
        <v>0.375</v>
      </c>
      <c r="I358" s="17" t="n">
        <f aca="false">IFERROR(INDEX('Shift Master'!$D$5:$D$16,MATCH(G358,'Shift Master'!$A$5:$A$16,0)),"")</f>
        <v>0.75</v>
      </c>
      <c r="J358" s="16" t="n">
        <f aca="false">IFERROR(INDEX('Shift Master'!$E$5:$E$16,MATCH(G358,'Shift Master'!$A$5:$A$16,0)),"")</f>
        <v>60</v>
      </c>
      <c r="K358" s="16" t="n">
        <f aca="false">IFERROR(INDEX('Shift Master'!$G$5:$G$16,MATCH(G358,'Shift Master'!$A$5:$A$16,0)),0)</f>
        <v>8</v>
      </c>
      <c r="L358" s="16" t="s">
        <v>228</v>
      </c>
      <c r="M358" s="16" t="s">
        <v>229</v>
      </c>
      <c r="N358" s="16" t="str">
        <f aca="false">IF(COUNTIFS('Staffing Coverage'!$A$5:$A$12,E358,'Staffing Coverage'!$B$5:$B$12,G358)=0,"",IF(COUNTIFS($A$5:$A$10004,A358,$E$5:$E$10004,E358,$G$5:$G$10004,G358)&lt;INDEX('Staffing Coverage'!$C$5:$C$12,MATCH(1,('Staffing Coverage'!$A$5:$A$12=E358)*('Staffing Coverage'!$B$5:$B$12=G358),0)),"SHORT","OK"))</f>
        <v/>
      </c>
    </row>
    <row r="359" customFormat="false" ht="15" hidden="false" customHeight="false" outlineLevel="0" collapsed="false">
      <c r="A359" s="15" t="n">
        <v>46313</v>
      </c>
      <c r="B359" s="16" t="str">
        <f aca="false">TEXT(A359,"ddd")</f>
        <v>Sun</v>
      </c>
      <c r="C359" s="10" t="s">
        <v>196</v>
      </c>
      <c r="D359" s="16" t="str">
        <f aca="false">IFERROR(INDEX('Staff Master'!$B$5:$B$24,MATCH(C359,'Staff Master'!$A$5:$A$24,0)),"")</f>
        <v>Karan Mehta</v>
      </c>
      <c r="E359" s="16" t="str">
        <f aca="false">IFERROR(INDEX('Staff Master'!$D$5:$D$24,MATCH(C359,'Staff Master'!$A$5:$A$24,0)),"")</f>
        <v>Laser</v>
      </c>
      <c r="F359" s="16" t="str">
        <f aca="false">IFERROR(INDEX('Staff Master'!$E$5:$E$24,MATCH(C359,'Staff Master'!$A$5:$A$24,0)),"")</f>
        <v>Laser Technician</v>
      </c>
      <c r="G359" s="10" t="s">
        <v>90</v>
      </c>
      <c r="H359" s="17" t="n">
        <f aca="false">IFERROR(INDEX('Shift Master'!$C$5:$C$16,MATCH(G359,'Shift Master'!$A$5:$A$16,0)),"")</f>
        <v>0.375</v>
      </c>
      <c r="I359" s="17" t="n">
        <f aca="false">IFERROR(INDEX('Shift Master'!$D$5:$D$16,MATCH(G359,'Shift Master'!$A$5:$A$16,0)),"")</f>
        <v>0.75</v>
      </c>
      <c r="J359" s="16" t="n">
        <f aca="false">IFERROR(INDEX('Shift Master'!$E$5:$E$16,MATCH(G359,'Shift Master'!$A$5:$A$16,0)),"")</f>
        <v>60</v>
      </c>
      <c r="K359" s="16" t="n">
        <f aca="false">IFERROR(INDEX('Shift Master'!$G$5:$G$16,MATCH(G359,'Shift Master'!$A$5:$A$16,0)),0)</f>
        <v>8</v>
      </c>
      <c r="L359" s="16" t="s">
        <v>228</v>
      </c>
      <c r="M359" s="16" t="s">
        <v>229</v>
      </c>
      <c r="N359" s="16" t="str">
        <f aca="false">IF(COUNTIFS('Staffing Coverage'!$A$5:$A$12,E359,'Staffing Coverage'!$B$5:$B$12,G359)=0,"",IF(COUNTIFS($A$5:$A$10004,A359,$E$5:$E$10004,E359,$G$5:$G$10004,G359)&lt;INDEX('Staffing Coverage'!$C$5:$C$12,MATCH(1,('Staffing Coverage'!$A$5:$A$12=E359)*('Staffing Coverage'!$B$5:$B$12=G359),0)),"SHORT","OK"))</f>
        <v/>
      </c>
    </row>
    <row r="360" customFormat="false" ht="15" hidden="false" customHeight="false" outlineLevel="0" collapsed="false">
      <c r="A360" s="15" t="n">
        <v>46313</v>
      </c>
      <c r="B360" s="16" t="str">
        <f aca="false">TEXT(A360,"ddd")</f>
        <v>Sun</v>
      </c>
      <c r="C360" s="10" t="s">
        <v>200</v>
      </c>
      <c r="D360" s="16" t="str">
        <f aca="false">IFERROR(INDEX('Staff Master'!$B$5:$B$24,MATCH(C360,'Staff Master'!$A$5:$A$24,0)),"")</f>
        <v>Imran Sheikh</v>
      </c>
      <c r="E360" s="16" t="str">
        <f aca="false">IFERROR(INDEX('Staff Master'!$D$5:$D$24,MATCH(C360,'Staff Master'!$A$5:$A$24,0)),"")</f>
        <v>Dental Laboratory</v>
      </c>
      <c r="F360" s="16" t="str">
        <f aca="false">IFERROR(INDEX('Staff Master'!$E$5:$E$24,MATCH(C360,'Staff Master'!$A$5:$A$24,0)),"")</f>
        <v>Dental Technician</v>
      </c>
      <c r="G360" s="10" t="s">
        <v>87</v>
      </c>
      <c r="H360" s="17" t="n">
        <f aca="false">IFERROR(INDEX('Shift Master'!$C$5:$C$16,MATCH(G360,'Shift Master'!$A$5:$A$16,0)),"")</f>
        <v>0.333333333333333</v>
      </c>
      <c r="I360" s="17" t="n">
        <f aca="false">IFERROR(INDEX('Shift Master'!$D$5:$D$16,MATCH(G360,'Shift Master'!$A$5:$A$16,0)),"")</f>
        <v>0.708333333333333</v>
      </c>
      <c r="J360" s="16" t="n">
        <f aca="false">IFERROR(INDEX('Shift Master'!$E$5:$E$16,MATCH(G360,'Shift Master'!$A$5:$A$16,0)),"")</f>
        <v>60</v>
      </c>
      <c r="K360" s="16" t="n">
        <f aca="false">IFERROR(INDEX('Shift Master'!$G$5:$G$16,MATCH(G360,'Shift Master'!$A$5:$A$16,0)),0)</f>
        <v>8</v>
      </c>
      <c r="L360" s="16" t="s">
        <v>228</v>
      </c>
      <c r="M360" s="16" t="s">
        <v>229</v>
      </c>
      <c r="N360" s="16" t="str">
        <f aca="false">IF(COUNTIFS('Staffing Coverage'!$A$5:$A$12,E360,'Staffing Coverage'!$B$5:$B$12,G360)=0,"",IF(COUNTIFS($A$5:$A$10004,A360,$E$5:$E$10004,E360,$G$5:$G$10004,G360)&lt;INDEX('Staffing Coverage'!$C$5:$C$12,MATCH(1,('Staffing Coverage'!$A$5:$A$12=E360)*('Staffing Coverage'!$B$5:$B$12=G360),0)),"SHORT","OK"))</f>
        <v/>
      </c>
    </row>
    <row r="361" customFormat="false" ht="15" hidden="false" customHeight="false" outlineLevel="0" collapsed="false">
      <c r="A361" s="15" t="n">
        <v>46313</v>
      </c>
      <c r="B361" s="16" t="str">
        <f aca="false">TEXT(A361,"ddd")</f>
        <v>Sun</v>
      </c>
      <c r="C361" s="10" t="s">
        <v>204</v>
      </c>
      <c r="D361" s="16" t="str">
        <f aca="false">IFERROR(INDEX('Staff Master'!$B$5:$B$24,MATCH(C361,'Staff Master'!$A$5:$A$24,0)),"")</f>
        <v>Josephine Cruz</v>
      </c>
      <c r="E361" s="16" t="str">
        <f aca="false">IFERROR(INDEX('Staff Master'!$D$5:$D$24,MATCH(C361,'Staff Master'!$A$5:$A$24,0)),"")</f>
        <v>CSSD</v>
      </c>
      <c r="F361" s="16" t="str">
        <f aca="false">IFERROR(INDEX('Staff Master'!$E$5:$E$24,MATCH(C361,'Staff Master'!$A$5:$A$24,0)),"")</f>
        <v>CSSD Technician</v>
      </c>
      <c r="G361" s="10" t="s">
        <v>97</v>
      </c>
      <c r="H361" s="17" t="n">
        <f aca="false">IFERROR(INDEX('Shift Master'!$C$5:$C$16,MATCH(G361,'Shift Master'!$A$5:$A$16,0)),"")</f>
        <v>0</v>
      </c>
      <c r="I361" s="17" t="n">
        <f aca="false">IFERROR(INDEX('Shift Master'!$D$5:$D$16,MATCH(G361,'Shift Master'!$A$5:$A$16,0)),"")</f>
        <v>0</v>
      </c>
      <c r="J361" s="16" t="n">
        <f aca="false">IFERROR(INDEX('Shift Master'!$E$5:$E$16,MATCH(G361,'Shift Master'!$A$5:$A$16,0)),"")</f>
        <v>0</v>
      </c>
      <c r="K361" s="16" t="n">
        <f aca="false">IFERROR(INDEX('Shift Master'!$G$5:$G$16,MATCH(G361,'Shift Master'!$A$5:$A$16,0)),0)</f>
        <v>0</v>
      </c>
      <c r="L361" s="16" t="s">
        <v>228</v>
      </c>
      <c r="M361" s="16" t="s">
        <v>229</v>
      </c>
      <c r="N361" s="16" t="str">
        <f aca="false">IF(COUNTIFS('Staffing Coverage'!$A$5:$A$12,E361,'Staffing Coverage'!$B$5:$B$12,G361)=0,"",IF(COUNTIFS($A$5:$A$10004,A361,$E$5:$E$10004,E361,$G$5:$G$10004,G361)&lt;INDEX('Staffing Coverage'!$C$5:$C$12,MATCH(1,('Staffing Coverage'!$A$5:$A$12=E361)*('Staffing Coverage'!$B$5:$B$12=G361),0)),"SHORT","OK"))</f>
        <v/>
      </c>
    </row>
    <row r="362" customFormat="false" ht="15" hidden="false" customHeight="false" outlineLevel="0" collapsed="false">
      <c r="A362" s="15" t="n">
        <v>46313</v>
      </c>
      <c r="B362" s="16" t="str">
        <f aca="false">TEXT(A362,"ddd")</f>
        <v>Sun</v>
      </c>
      <c r="C362" s="10" t="s">
        <v>208</v>
      </c>
      <c r="D362" s="16" t="str">
        <f aca="false">IFERROR(INDEX('Staff Master'!$B$5:$B$24,MATCH(C362,'Staff Master'!$A$5:$A$24,0)),"")</f>
        <v>Rosalyn Tan</v>
      </c>
      <c r="E362" s="16" t="str">
        <f aca="false">IFERROR(INDEX('Staff Master'!$D$5:$D$24,MATCH(C362,'Staff Master'!$A$5:$A$24,0)),"")</f>
        <v>Cleaning</v>
      </c>
      <c r="F362" s="16" t="str">
        <f aca="false">IFERROR(INDEX('Staff Master'!$E$5:$E$24,MATCH(C362,'Staff Master'!$A$5:$A$24,0)),"")</f>
        <v>Cleaner</v>
      </c>
      <c r="G362" s="10" t="s">
        <v>87</v>
      </c>
      <c r="H362" s="17" t="n">
        <f aca="false">IFERROR(INDEX('Shift Master'!$C$5:$C$16,MATCH(G362,'Shift Master'!$A$5:$A$16,0)),"")</f>
        <v>0.333333333333333</v>
      </c>
      <c r="I362" s="17" t="n">
        <f aca="false">IFERROR(INDEX('Shift Master'!$D$5:$D$16,MATCH(G362,'Shift Master'!$A$5:$A$16,0)),"")</f>
        <v>0.708333333333333</v>
      </c>
      <c r="J362" s="16" t="n">
        <f aca="false">IFERROR(INDEX('Shift Master'!$E$5:$E$16,MATCH(G362,'Shift Master'!$A$5:$A$16,0)),"")</f>
        <v>60</v>
      </c>
      <c r="K362" s="16" t="n">
        <f aca="false">IFERROR(INDEX('Shift Master'!$G$5:$G$16,MATCH(G362,'Shift Master'!$A$5:$A$16,0)),0)</f>
        <v>8</v>
      </c>
      <c r="L362" s="16" t="s">
        <v>228</v>
      </c>
      <c r="M362" s="16" t="s">
        <v>229</v>
      </c>
      <c r="N362" s="16" t="str">
        <f aca="false">IF(COUNTIFS('Staffing Coverage'!$A$5:$A$12,E362,'Staffing Coverage'!$B$5:$B$12,G362)=0,"",IF(COUNTIFS($A$5:$A$10004,A362,$E$5:$E$10004,E362,$G$5:$G$10004,G362)&lt;INDEX('Staffing Coverage'!$C$5:$C$12,MATCH(1,('Staffing Coverage'!$A$5:$A$12=E362)*('Staffing Coverage'!$B$5:$B$12=G362),0)),"SHORT","OK"))</f>
        <v>OK</v>
      </c>
    </row>
    <row r="363" customFormat="false" ht="15" hidden="false" customHeight="false" outlineLevel="0" collapsed="false">
      <c r="A363" s="15" t="n">
        <v>46313</v>
      </c>
      <c r="B363" s="16" t="str">
        <f aca="false">TEXT(A363,"ddd")</f>
        <v>Sun</v>
      </c>
      <c r="C363" s="10" t="s">
        <v>212</v>
      </c>
      <c r="D363" s="16" t="str">
        <f aca="false">IFERROR(INDEX('Staff Master'!$B$5:$B$24,MATCH(C363,'Staff Master'!$A$5:$A$24,0)),"")</f>
        <v>Hassan Baig</v>
      </c>
      <c r="E363" s="16" t="str">
        <f aca="false">IFERROR(INDEX('Staff Master'!$D$5:$D$24,MATCH(C363,'Staff Master'!$A$5:$A$24,0)),"")</f>
        <v>Facilities</v>
      </c>
      <c r="F363" s="16" t="str">
        <f aca="false">IFERROR(INDEX('Staff Master'!$E$5:$E$24,MATCH(C363,'Staff Master'!$A$5:$A$24,0)),"")</f>
        <v>Facility Manager</v>
      </c>
      <c r="G363" s="10" t="s">
        <v>90</v>
      </c>
      <c r="H363" s="17" t="n">
        <f aca="false">IFERROR(INDEX('Shift Master'!$C$5:$C$16,MATCH(G363,'Shift Master'!$A$5:$A$16,0)),"")</f>
        <v>0.375</v>
      </c>
      <c r="I363" s="17" t="n">
        <f aca="false">IFERROR(INDEX('Shift Master'!$D$5:$D$16,MATCH(G363,'Shift Master'!$A$5:$A$16,0)),"")</f>
        <v>0.75</v>
      </c>
      <c r="J363" s="16" t="n">
        <f aca="false">IFERROR(INDEX('Shift Master'!$E$5:$E$16,MATCH(G363,'Shift Master'!$A$5:$A$16,0)),"")</f>
        <v>60</v>
      </c>
      <c r="K363" s="16" t="n">
        <f aca="false">IFERROR(INDEX('Shift Master'!$G$5:$G$16,MATCH(G363,'Shift Master'!$A$5:$A$16,0)),0)</f>
        <v>8</v>
      </c>
      <c r="L363" s="16" t="s">
        <v>228</v>
      </c>
      <c r="M363" s="16" t="s">
        <v>229</v>
      </c>
      <c r="N363" s="16" t="str">
        <f aca="false">IF(COUNTIFS('Staffing Coverage'!$A$5:$A$12,E363,'Staffing Coverage'!$B$5:$B$12,G363)=0,"",IF(COUNTIFS($A$5:$A$10004,A363,$E$5:$E$10004,E363,$G$5:$G$10004,G363)&lt;INDEX('Staffing Coverage'!$C$5:$C$12,MATCH(1,('Staffing Coverage'!$A$5:$A$12=E363)*('Staffing Coverage'!$B$5:$B$12=G363),0)),"SHORT","OK"))</f>
        <v/>
      </c>
    </row>
    <row r="364" customFormat="false" ht="15" hidden="false" customHeight="false" outlineLevel="0" collapsed="false">
      <c r="A364" s="15" t="n">
        <v>46313</v>
      </c>
      <c r="B364" s="16" t="str">
        <f aca="false">TEXT(A364,"ddd")</f>
        <v>Sun</v>
      </c>
      <c r="C364" s="10" t="s">
        <v>178</v>
      </c>
      <c r="D364" s="16" t="str">
        <f aca="false">IFERROR(INDEX('Staff Master'!$B$5:$B$24,MATCH(C364,'Staff Master'!$A$5:$A$24,0)),"")</f>
        <v>Meera Pillai</v>
      </c>
      <c r="E364" s="16" t="str">
        <f aca="false">IFERROR(INDEX('Staff Master'!$D$5:$D$24,MATCH(C364,'Staff Master'!$A$5:$A$24,0)),"")</f>
        <v>HR</v>
      </c>
      <c r="F364" s="16" t="str">
        <f aca="false">IFERROR(INDEX('Staff Master'!$E$5:$E$24,MATCH(C364,'Staff Master'!$A$5:$A$24,0)),"")</f>
        <v>HR Executive</v>
      </c>
      <c r="G364" s="10" t="s">
        <v>90</v>
      </c>
      <c r="H364" s="17" t="n">
        <f aca="false">IFERROR(INDEX('Shift Master'!$C$5:$C$16,MATCH(G364,'Shift Master'!$A$5:$A$16,0)),"")</f>
        <v>0.375</v>
      </c>
      <c r="I364" s="17" t="n">
        <f aca="false">IFERROR(INDEX('Shift Master'!$D$5:$D$16,MATCH(G364,'Shift Master'!$A$5:$A$16,0)),"")</f>
        <v>0.75</v>
      </c>
      <c r="J364" s="16" t="n">
        <f aca="false">IFERROR(INDEX('Shift Master'!$E$5:$E$16,MATCH(G364,'Shift Master'!$A$5:$A$16,0)),"")</f>
        <v>60</v>
      </c>
      <c r="K364" s="16" t="n">
        <f aca="false">IFERROR(INDEX('Shift Master'!$G$5:$G$16,MATCH(G364,'Shift Master'!$A$5:$A$16,0)),0)</f>
        <v>8</v>
      </c>
      <c r="L364" s="16" t="s">
        <v>228</v>
      </c>
      <c r="M364" s="16" t="s">
        <v>229</v>
      </c>
      <c r="N364" s="16" t="str">
        <f aca="false">IF(COUNTIFS('Staffing Coverage'!$A$5:$A$12,E364,'Staffing Coverage'!$B$5:$B$12,G364)=0,"",IF(COUNTIFS($A$5:$A$10004,A364,$E$5:$E$10004,E364,$G$5:$G$10004,G364)&lt;INDEX('Staffing Coverage'!$C$5:$C$12,MATCH(1,('Staffing Coverage'!$A$5:$A$12=E364)*('Staffing Coverage'!$B$5:$B$12=G364),0)),"SHORT","OK"))</f>
        <v/>
      </c>
    </row>
    <row r="365" customFormat="false" ht="15" hidden="false" customHeight="false" outlineLevel="0" collapsed="false">
      <c r="A365" s="15" t="n">
        <v>46314</v>
      </c>
      <c r="B365" s="16" t="str">
        <f aca="false">TEXT(A365,"ddd")</f>
        <v>Mon</v>
      </c>
      <c r="C365" s="10" t="s">
        <v>128</v>
      </c>
      <c r="D365" s="16" t="str">
        <f aca="false">IFERROR(INDEX('Staff Master'!$B$5:$B$24,MATCH(C365,'Staff Master'!$A$5:$A$24,0)),"")</f>
        <v>Rashid Al Nuaimi</v>
      </c>
      <c r="E365" s="16" t="str">
        <f aca="false">IFERROR(INDEX('Staff Master'!$D$5:$D$24,MATCH(C365,'Staff Master'!$A$5:$A$24,0)),"")</f>
        <v>Management</v>
      </c>
      <c r="F365" s="16" t="str">
        <f aca="false">IFERROR(INDEX('Staff Master'!$E$5:$E$24,MATCH(C365,'Staff Master'!$A$5:$A$24,0)),"")</f>
        <v>CEO</v>
      </c>
      <c r="G365" s="10" t="s">
        <v>90</v>
      </c>
      <c r="H365" s="17" t="n">
        <f aca="false">IFERROR(INDEX('Shift Master'!$C$5:$C$16,MATCH(G365,'Shift Master'!$A$5:$A$16,0)),"")</f>
        <v>0.375</v>
      </c>
      <c r="I365" s="17" t="n">
        <f aca="false">IFERROR(INDEX('Shift Master'!$D$5:$D$16,MATCH(G365,'Shift Master'!$A$5:$A$16,0)),"")</f>
        <v>0.75</v>
      </c>
      <c r="J365" s="16" t="n">
        <f aca="false">IFERROR(INDEX('Shift Master'!$E$5:$E$16,MATCH(G365,'Shift Master'!$A$5:$A$16,0)),"")</f>
        <v>60</v>
      </c>
      <c r="K365" s="16" t="n">
        <f aca="false">IFERROR(INDEX('Shift Master'!$G$5:$G$16,MATCH(G365,'Shift Master'!$A$5:$A$16,0)),0)</f>
        <v>8</v>
      </c>
      <c r="L365" s="16" t="s">
        <v>228</v>
      </c>
      <c r="M365" s="16" t="s">
        <v>229</v>
      </c>
      <c r="N365" s="16" t="str">
        <f aca="false">IF(COUNTIFS('Staffing Coverage'!$A$5:$A$12,E365,'Staffing Coverage'!$B$5:$B$12,G365)=0,"",IF(COUNTIFS($A$5:$A$10004,A365,$E$5:$E$10004,E365,$G$5:$G$10004,G365)&lt;INDEX('Staffing Coverage'!$C$5:$C$12,MATCH(1,('Staffing Coverage'!$A$5:$A$12=E365)*('Staffing Coverage'!$B$5:$B$12=G365),0)),"SHORT","OK"))</f>
        <v/>
      </c>
    </row>
    <row r="366" customFormat="false" ht="15" hidden="false" customHeight="false" outlineLevel="0" collapsed="false">
      <c r="A366" s="15" t="n">
        <v>46314</v>
      </c>
      <c r="B366" s="16" t="str">
        <f aca="false">TEXT(A366,"ddd")</f>
        <v>Mon</v>
      </c>
      <c r="C366" s="10" t="s">
        <v>137</v>
      </c>
      <c r="D366" s="16" t="str">
        <f aca="false">IFERROR(INDEX('Staff Master'!$B$5:$B$24,MATCH(C366,'Staff Master'!$A$5:$A$24,0)),"")</f>
        <v>Dr. Sara Haddad</v>
      </c>
      <c r="E366" s="16" t="str">
        <f aca="false">IFERROR(INDEX('Staff Master'!$D$5:$D$24,MATCH(C366,'Staff Master'!$A$5:$A$24,0)),"")</f>
        <v>General Practice</v>
      </c>
      <c r="F366" s="16" t="str">
        <f aca="false">IFERROR(INDEX('Staff Master'!$E$5:$E$24,MATCH(C366,'Staff Master'!$A$5:$A$24,0)),"")</f>
        <v>Medical Director</v>
      </c>
      <c r="G366" s="10" t="s">
        <v>96</v>
      </c>
      <c r="H366" s="17" t="n">
        <f aca="false">IFERROR(INDEX('Shift Master'!$C$5:$C$16,MATCH(G366,'Shift Master'!$A$5:$A$16,0)),"")</f>
        <v>0.375</v>
      </c>
      <c r="I366" s="17" t="n">
        <f aca="false">IFERROR(INDEX('Shift Master'!$D$5:$D$16,MATCH(G366,'Shift Master'!$A$5:$A$16,0)),"")</f>
        <v>0.708333333333333</v>
      </c>
      <c r="J366" s="16" t="n">
        <f aca="false">IFERROR(INDEX('Shift Master'!$E$5:$E$16,MATCH(G366,'Shift Master'!$A$5:$A$16,0)),"")</f>
        <v>60</v>
      </c>
      <c r="K366" s="16" t="n">
        <f aca="false">IFERROR(INDEX('Shift Master'!$G$5:$G$16,MATCH(G366,'Shift Master'!$A$5:$A$16,0)),0)</f>
        <v>7</v>
      </c>
      <c r="L366" s="16" t="s">
        <v>228</v>
      </c>
      <c r="M366" s="16" t="s">
        <v>229</v>
      </c>
      <c r="N366" s="16" t="str">
        <f aca="false">IF(COUNTIFS('Staffing Coverage'!$A$5:$A$12,E366,'Staffing Coverage'!$B$5:$B$12,G366)=0,"",IF(COUNTIFS($A$5:$A$10004,A366,$E$5:$E$10004,E366,$G$5:$G$10004,G366)&lt;INDEX('Staffing Coverage'!$C$5:$C$12,MATCH(1,('Staffing Coverage'!$A$5:$A$12=E366)*('Staffing Coverage'!$B$5:$B$12=G366),0)),"SHORT","OK"))</f>
        <v/>
      </c>
    </row>
    <row r="367" customFormat="false" ht="15" hidden="false" customHeight="false" outlineLevel="0" collapsed="false">
      <c r="A367" s="15" t="n">
        <v>46314</v>
      </c>
      <c r="B367" s="16" t="str">
        <f aca="false">TEXT(A367,"ddd")</f>
        <v>Mon</v>
      </c>
      <c r="C367" s="10" t="s">
        <v>142</v>
      </c>
      <c r="D367" s="16" t="str">
        <f aca="false">IFERROR(INDEX('Staff Master'!$B$5:$B$24,MATCH(C367,'Staff Master'!$A$5:$A$24,0)),"")</f>
        <v>Dr. Omar Khalil</v>
      </c>
      <c r="E367" s="16" t="str">
        <f aca="false">IFERROR(INDEX('Staff Master'!$D$5:$D$24,MATCH(C367,'Staff Master'!$A$5:$A$24,0)),"")</f>
        <v>General Practice</v>
      </c>
      <c r="F367" s="16" t="str">
        <f aca="false">IFERROR(INDEX('Staff Master'!$E$5:$E$24,MATCH(C367,'Staff Master'!$A$5:$A$24,0)),"")</f>
        <v>Doctor</v>
      </c>
      <c r="G367" s="10" t="s">
        <v>96</v>
      </c>
      <c r="H367" s="17" t="n">
        <f aca="false">IFERROR(INDEX('Shift Master'!$C$5:$C$16,MATCH(G367,'Shift Master'!$A$5:$A$16,0)),"")</f>
        <v>0.375</v>
      </c>
      <c r="I367" s="17" t="n">
        <f aca="false">IFERROR(INDEX('Shift Master'!$D$5:$D$16,MATCH(G367,'Shift Master'!$A$5:$A$16,0)),"")</f>
        <v>0.708333333333333</v>
      </c>
      <c r="J367" s="16" t="n">
        <f aca="false">IFERROR(INDEX('Shift Master'!$E$5:$E$16,MATCH(G367,'Shift Master'!$A$5:$A$16,0)),"")</f>
        <v>60</v>
      </c>
      <c r="K367" s="16" t="n">
        <f aca="false">IFERROR(INDEX('Shift Master'!$G$5:$G$16,MATCH(G367,'Shift Master'!$A$5:$A$16,0)),0)</f>
        <v>7</v>
      </c>
      <c r="L367" s="16" t="s">
        <v>228</v>
      </c>
      <c r="M367" s="16" t="s">
        <v>229</v>
      </c>
      <c r="N367" s="16" t="str">
        <f aca="false">IF(COUNTIFS('Staffing Coverage'!$A$5:$A$12,E367,'Staffing Coverage'!$B$5:$B$12,G367)=0,"",IF(COUNTIFS($A$5:$A$10004,A367,$E$5:$E$10004,E367,$G$5:$G$10004,G367)&lt;INDEX('Staffing Coverage'!$C$5:$C$12,MATCH(1,('Staffing Coverage'!$A$5:$A$12=E367)*('Staffing Coverage'!$B$5:$B$12=G367),0)),"SHORT","OK"))</f>
        <v/>
      </c>
    </row>
    <row r="368" customFormat="false" ht="15" hidden="false" customHeight="false" outlineLevel="0" collapsed="false">
      <c r="A368" s="15" t="n">
        <v>46314</v>
      </c>
      <c r="B368" s="16" t="str">
        <f aca="false">TEXT(A368,"ddd")</f>
        <v>Mon</v>
      </c>
      <c r="C368" s="10" t="s">
        <v>146</v>
      </c>
      <c r="D368" s="16" t="str">
        <f aca="false">IFERROR(INDEX('Staff Master'!$B$5:$B$24,MATCH(C368,'Staff Master'!$A$5:$A$24,0)),"")</f>
        <v>Dr. Lina Abboud</v>
      </c>
      <c r="E368" s="16" t="str">
        <f aca="false">IFERROR(INDEX('Staff Master'!$D$5:$D$24,MATCH(C368,'Staff Master'!$A$5:$A$24,0)),"")</f>
        <v>Dental</v>
      </c>
      <c r="F368" s="16" t="str">
        <f aca="false">IFERROR(INDEX('Staff Master'!$E$5:$E$24,MATCH(C368,'Staff Master'!$A$5:$A$24,0)),"")</f>
        <v>Dentist</v>
      </c>
      <c r="G368" s="10" t="s">
        <v>96</v>
      </c>
      <c r="H368" s="17" t="n">
        <f aca="false">IFERROR(INDEX('Shift Master'!$C$5:$C$16,MATCH(G368,'Shift Master'!$A$5:$A$16,0)),"")</f>
        <v>0.375</v>
      </c>
      <c r="I368" s="17" t="n">
        <f aca="false">IFERROR(INDEX('Shift Master'!$D$5:$D$16,MATCH(G368,'Shift Master'!$A$5:$A$16,0)),"")</f>
        <v>0.708333333333333</v>
      </c>
      <c r="J368" s="16" t="n">
        <f aca="false">IFERROR(INDEX('Shift Master'!$E$5:$E$16,MATCH(G368,'Shift Master'!$A$5:$A$16,0)),"")</f>
        <v>60</v>
      </c>
      <c r="K368" s="16" t="n">
        <f aca="false">IFERROR(INDEX('Shift Master'!$G$5:$G$16,MATCH(G368,'Shift Master'!$A$5:$A$16,0)),0)</f>
        <v>7</v>
      </c>
      <c r="L368" s="16" t="s">
        <v>228</v>
      </c>
      <c r="M368" s="16" t="s">
        <v>229</v>
      </c>
      <c r="N368" s="16" t="str">
        <f aca="false">IF(COUNTIFS('Staffing Coverage'!$A$5:$A$12,E368,'Staffing Coverage'!$B$5:$B$12,G368)=0,"",IF(COUNTIFS($A$5:$A$10004,A368,$E$5:$E$10004,E368,$G$5:$G$10004,G368)&lt;INDEX('Staffing Coverage'!$C$5:$C$12,MATCH(1,('Staffing Coverage'!$A$5:$A$12=E368)*('Staffing Coverage'!$B$5:$B$12=G368),0)),"SHORT","OK"))</f>
        <v/>
      </c>
    </row>
    <row r="369" customFormat="false" ht="15" hidden="false" customHeight="false" outlineLevel="0" collapsed="false">
      <c r="A369" s="15" t="n">
        <v>46314</v>
      </c>
      <c r="B369" s="16" t="str">
        <f aca="false">TEXT(A369,"ddd")</f>
        <v>Mon</v>
      </c>
      <c r="C369" s="10" t="s">
        <v>150</v>
      </c>
      <c r="D369" s="16" t="str">
        <f aca="false">IFERROR(INDEX('Staff Master'!$B$5:$B$24,MATCH(C369,'Staff Master'!$A$5:$A$24,0)),"")</f>
        <v>Dr. Farah Idris</v>
      </c>
      <c r="E369" s="16" t="str">
        <f aca="false">IFERROR(INDEX('Staff Master'!$D$5:$D$24,MATCH(C369,'Staff Master'!$A$5:$A$24,0)),"")</f>
        <v>Dental</v>
      </c>
      <c r="F369" s="16" t="str">
        <f aca="false">IFERROR(INDEX('Staff Master'!$E$5:$E$24,MATCH(C369,'Staff Master'!$A$5:$A$24,0)),"")</f>
        <v>Dentist</v>
      </c>
      <c r="G369" s="10" t="s">
        <v>96</v>
      </c>
      <c r="H369" s="17" t="n">
        <f aca="false">IFERROR(INDEX('Shift Master'!$C$5:$C$16,MATCH(G369,'Shift Master'!$A$5:$A$16,0)),"")</f>
        <v>0.375</v>
      </c>
      <c r="I369" s="17" t="n">
        <f aca="false">IFERROR(INDEX('Shift Master'!$D$5:$D$16,MATCH(G369,'Shift Master'!$A$5:$A$16,0)),"")</f>
        <v>0.708333333333333</v>
      </c>
      <c r="J369" s="16" t="n">
        <f aca="false">IFERROR(INDEX('Shift Master'!$E$5:$E$16,MATCH(G369,'Shift Master'!$A$5:$A$16,0)),"")</f>
        <v>60</v>
      </c>
      <c r="K369" s="16" t="n">
        <f aca="false">IFERROR(INDEX('Shift Master'!$G$5:$G$16,MATCH(G369,'Shift Master'!$A$5:$A$16,0)),0)</f>
        <v>7</v>
      </c>
      <c r="L369" s="16" t="s">
        <v>228</v>
      </c>
      <c r="M369" s="16" t="s">
        <v>229</v>
      </c>
      <c r="N369" s="16" t="str">
        <f aca="false">IF(COUNTIFS('Staffing Coverage'!$A$5:$A$12,E369,'Staffing Coverage'!$B$5:$B$12,G369)=0,"",IF(COUNTIFS($A$5:$A$10004,A369,$E$5:$E$10004,E369,$G$5:$G$10004,G369)&lt;INDEX('Staffing Coverage'!$C$5:$C$12,MATCH(1,('Staffing Coverage'!$A$5:$A$12=E369)*('Staffing Coverage'!$B$5:$B$12=G369),0)),"SHORT","OK"))</f>
        <v/>
      </c>
    </row>
    <row r="370" customFormat="false" ht="15" hidden="false" customHeight="false" outlineLevel="0" collapsed="false">
      <c r="A370" s="15" t="n">
        <v>46314</v>
      </c>
      <c r="B370" s="16" t="str">
        <f aca="false">TEXT(A370,"ddd")</f>
        <v>Mon</v>
      </c>
      <c r="C370" s="10" t="s">
        <v>157</v>
      </c>
      <c r="D370" s="16" t="str">
        <f aca="false">IFERROR(INDEX('Staff Master'!$B$5:$B$24,MATCH(C370,'Staff Master'!$A$5:$A$24,0)),"")</f>
        <v>Dr. Youssef Nassar</v>
      </c>
      <c r="E370" s="16" t="str">
        <f aca="false">IFERROR(INDEX('Staff Master'!$D$5:$D$24,MATCH(C370,'Staff Master'!$A$5:$A$24,0)),"")</f>
        <v>General Practice</v>
      </c>
      <c r="F370" s="16" t="str">
        <f aca="false">IFERROR(INDEX('Staff Master'!$E$5:$E$24,MATCH(C370,'Staff Master'!$A$5:$A$24,0)),"")</f>
        <v>General Practitioner</v>
      </c>
      <c r="G370" s="10" t="s">
        <v>96</v>
      </c>
      <c r="H370" s="17" t="n">
        <f aca="false">IFERROR(INDEX('Shift Master'!$C$5:$C$16,MATCH(G370,'Shift Master'!$A$5:$A$16,0)),"")</f>
        <v>0.375</v>
      </c>
      <c r="I370" s="17" t="n">
        <f aca="false">IFERROR(INDEX('Shift Master'!$D$5:$D$16,MATCH(G370,'Shift Master'!$A$5:$A$16,0)),"")</f>
        <v>0.708333333333333</v>
      </c>
      <c r="J370" s="16" t="n">
        <f aca="false">IFERROR(INDEX('Shift Master'!$E$5:$E$16,MATCH(G370,'Shift Master'!$A$5:$A$16,0)),"")</f>
        <v>60</v>
      </c>
      <c r="K370" s="16" t="n">
        <f aca="false">IFERROR(INDEX('Shift Master'!$G$5:$G$16,MATCH(G370,'Shift Master'!$A$5:$A$16,0)),0)</f>
        <v>7</v>
      </c>
      <c r="L370" s="16" t="s">
        <v>228</v>
      </c>
      <c r="M370" s="16" t="s">
        <v>229</v>
      </c>
      <c r="N370" s="16" t="str">
        <f aca="false">IF(COUNTIFS('Staffing Coverage'!$A$5:$A$12,E370,'Staffing Coverage'!$B$5:$B$12,G370)=0,"",IF(COUNTIFS($A$5:$A$10004,A370,$E$5:$E$10004,E370,$G$5:$G$10004,G370)&lt;INDEX('Staffing Coverage'!$C$5:$C$12,MATCH(1,('Staffing Coverage'!$A$5:$A$12=E370)*('Staffing Coverage'!$B$5:$B$12=G370),0)),"SHORT","OK"))</f>
        <v/>
      </c>
    </row>
    <row r="371" customFormat="false" ht="15" hidden="false" customHeight="false" outlineLevel="0" collapsed="false">
      <c r="A371" s="15" t="n">
        <v>46314</v>
      </c>
      <c r="B371" s="16" t="str">
        <f aca="false">TEXT(A371,"ddd")</f>
        <v>Mon</v>
      </c>
      <c r="C371" s="10" t="s">
        <v>161</v>
      </c>
      <c r="D371" s="16" t="str">
        <f aca="false">IFERROR(INDEX('Staff Master'!$B$5:$B$24,MATCH(C371,'Staff Master'!$A$5:$A$24,0)),"")</f>
        <v>Grace Fernandez</v>
      </c>
      <c r="E371" s="16" t="str">
        <f aca="false">IFERROR(INDEX('Staff Master'!$D$5:$D$24,MATCH(C371,'Staff Master'!$A$5:$A$24,0)),"")</f>
        <v>Nursing</v>
      </c>
      <c r="F371" s="16" t="str">
        <f aca="false">IFERROR(INDEX('Staff Master'!$E$5:$E$24,MATCH(C371,'Staff Master'!$A$5:$A$24,0)),"")</f>
        <v>Nurse</v>
      </c>
      <c r="G371" s="10" t="s">
        <v>87</v>
      </c>
      <c r="H371" s="17" t="n">
        <f aca="false">IFERROR(INDEX('Shift Master'!$C$5:$C$16,MATCH(G371,'Shift Master'!$A$5:$A$16,0)),"")</f>
        <v>0.333333333333333</v>
      </c>
      <c r="I371" s="17" t="n">
        <f aca="false">IFERROR(INDEX('Shift Master'!$D$5:$D$16,MATCH(G371,'Shift Master'!$A$5:$A$16,0)),"")</f>
        <v>0.708333333333333</v>
      </c>
      <c r="J371" s="16" t="n">
        <f aca="false">IFERROR(INDEX('Shift Master'!$E$5:$E$16,MATCH(G371,'Shift Master'!$A$5:$A$16,0)),"")</f>
        <v>60</v>
      </c>
      <c r="K371" s="16" t="n">
        <f aca="false">IFERROR(INDEX('Shift Master'!$G$5:$G$16,MATCH(G371,'Shift Master'!$A$5:$A$16,0)),0)</f>
        <v>8</v>
      </c>
      <c r="L371" s="16" t="s">
        <v>228</v>
      </c>
      <c r="M371" s="16" t="s">
        <v>229</v>
      </c>
      <c r="N371" s="16" t="str">
        <f aca="false">IF(COUNTIFS('Staffing Coverage'!$A$5:$A$12,E371,'Staffing Coverage'!$B$5:$B$12,G371)=0,"",IF(COUNTIFS($A$5:$A$10004,A371,$E$5:$E$10004,E371,$G$5:$G$10004,G371)&lt;INDEX('Staffing Coverage'!$C$5:$C$12,MATCH(1,('Staffing Coverage'!$A$5:$A$12=E371)*('Staffing Coverage'!$B$5:$B$12=G371),0)),"SHORT","OK"))</f>
        <v>OK</v>
      </c>
    </row>
    <row r="372" customFormat="false" ht="15" hidden="false" customHeight="false" outlineLevel="0" collapsed="false">
      <c r="A372" s="15" t="n">
        <v>46314</v>
      </c>
      <c r="B372" s="16" t="str">
        <f aca="false">TEXT(A372,"ddd")</f>
        <v>Mon</v>
      </c>
      <c r="C372" s="10" t="s">
        <v>165</v>
      </c>
      <c r="D372" s="16" t="str">
        <f aca="false">IFERROR(INDEX('Staff Master'!$B$5:$B$24,MATCH(C372,'Staff Master'!$A$5:$A$24,0)),"")</f>
        <v>Priya Nair</v>
      </c>
      <c r="E372" s="16" t="str">
        <f aca="false">IFERROR(INDEX('Staff Master'!$D$5:$D$24,MATCH(C372,'Staff Master'!$A$5:$A$24,0)),"")</f>
        <v>Nursing</v>
      </c>
      <c r="F372" s="16" t="str">
        <f aca="false">IFERROR(INDEX('Staff Master'!$E$5:$E$24,MATCH(C372,'Staff Master'!$A$5:$A$24,0)),"")</f>
        <v>Nurse</v>
      </c>
      <c r="G372" s="10" t="s">
        <v>97</v>
      </c>
      <c r="H372" s="17" t="n">
        <f aca="false">IFERROR(INDEX('Shift Master'!$C$5:$C$16,MATCH(G372,'Shift Master'!$A$5:$A$16,0)),"")</f>
        <v>0</v>
      </c>
      <c r="I372" s="17" t="n">
        <f aca="false">IFERROR(INDEX('Shift Master'!$D$5:$D$16,MATCH(G372,'Shift Master'!$A$5:$A$16,0)),"")</f>
        <v>0</v>
      </c>
      <c r="J372" s="16" t="n">
        <f aca="false">IFERROR(INDEX('Shift Master'!$E$5:$E$16,MATCH(G372,'Shift Master'!$A$5:$A$16,0)),"")</f>
        <v>0</v>
      </c>
      <c r="K372" s="16" t="n">
        <f aca="false">IFERROR(INDEX('Shift Master'!$G$5:$G$16,MATCH(G372,'Shift Master'!$A$5:$A$16,0)),0)</f>
        <v>0</v>
      </c>
      <c r="L372" s="16" t="s">
        <v>228</v>
      </c>
      <c r="M372" s="16" t="s">
        <v>229</v>
      </c>
      <c r="N372" s="16" t="str">
        <f aca="false">IF(COUNTIFS('Staffing Coverage'!$A$5:$A$12,E372,'Staffing Coverage'!$B$5:$B$12,G372)=0,"",IF(COUNTIFS($A$5:$A$10004,A372,$E$5:$E$10004,E372,$G$5:$G$10004,G372)&lt;INDEX('Staffing Coverage'!$C$5:$C$12,MATCH(1,('Staffing Coverage'!$A$5:$A$12=E372)*('Staffing Coverage'!$B$5:$B$12=G372),0)),"SHORT","OK"))</f>
        <v/>
      </c>
    </row>
    <row r="373" customFormat="false" ht="15" hidden="false" customHeight="false" outlineLevel="0" collapsed="false">
      <c r="A373" s="15" t="n">
        <v>46314</v>
      </c>
      <c r="B373" s="16" t="str">
        <f aca="false">TEXT(A373,"ddd")</f>
        <v>Mon</v>
      </c>
      <c r="C373" s="10" t="s">
        <v>170</v>
      </c>
      <c r="D373" s="16" t="str">
        <f aca="false">IFERROR(INDEX('Staff Master'!$B$5:$B$24,MATCH(C373,'Staff Master'!$A$5:$A$24,0)),"")</f>
        <v>Maria Santos</v>
      </c>
      <c r="E373" s="16" t="str">
        <f aca="false">IFERROR(INDEX('Staff Master'!$D$5:$D$24,MATCH(C373,'Staff Master'!$A$5:$A$24,0)),"")</f>
        <v>Nursing</v>
      </c>
      <c r="F373" s="16" t="str">
        <f aca="false">IFERROR(INDEX('Staff Master'!$E$5:$E$24,MATCH(C373,'Staff Master'!$A$5:$A$24,0)),"")</f>
        <v>Nurse</v>
      </c>
      <c r="G373" s="10" t="s">
        <v>94</v>
      </c>
      <c r="H373" s="17" t="n">
        <f aca="false">IFERROR(INDEX('Shift Master'!$C$5:$C$16,MATCH(G373,'Shift Master'!$A$5:$A$16,0)),"")</f>
        <v>0.541666666666667</v>
      </c>
      <c r="I373" s="17" t="n">
        <f aca="false">IFERROR(INDEX('Shift Master'!$D$5:$D$16,MATCH(G373,'Shift Master'!$A$5:$A$16,0)),"")</f>
        <v>0.916666666666667</v>
      </c>
      <c r="J373" s="16" t="n">
        <f aca="false">IFERROR(INDEX('Shift Master'!$E$5:$E$16,MATCH(G373,'Shift Master'!$A$5:$A$16,0)),"")</f>
        <v>60</v>
      </c>
      <c r="K373" s="16" t="n">
        <f aca="false">IFERROR(INDEX('Shift Master'!$G$5:$G$16,MATCH(G373,'Shift Master'!$A$5:$A$16,0)),0)</f>
        <v>8</v>
      </c>
      <c r="L373" s="16" t="s">
        <v>228</v>
      </c>
      <c r="M373" s="16" t="s">
        <v>229</v>
      </c>
      <c r="N373" s="16" t="str">
        <f aca="false">IF(COUNTIFS('Staffing Coverage'!$A$5:$A$12,E373,'Staffing Coverage'!$B$5:$B$12,G373)=0,"",IF(COUNTIFS($A$5:$A$10004,A373,$E$5:$E$10004,E373,$G$5:$G$10004,G373)&lt;INDEX('Staffing Coverage'!$C$5:$C$12,MATCH(1,('Staffing Coverage'!$A$5:$A$12=E373)*('Staffing Coverage'!$B$5:$B$12=G373),0)),"SHORT","OK"))</f>
        <v/>
      </c>
    </row>
    <row r="374" customFormat="false" ht="15" hidden="false" customHeight="false" outlineLevel="0" collapsed="false">
      <c r="A374" s="15" t="n">
        <v>46314</v>
      </c>
      <c r="B374" s="16" t="str">
        <f aca="false">TEXT(A374,"ddd")</f>
        <v>Mon</v>
      </c>
      <c r="C374" s="10" t="s">
        <v>174</v>
      </c>
      <c r="D374" s="16" t="str">
        <f aca="false">IFERROR(INDEX('Staff Master'!$B$5:$B$24,MATCH(C374,'Staff Master'!$A$5:$A$24,0)),"")</f>
        <v>Aisha Al Shamsi</v>
      </c>
      <c r="E374" s="16" t="str">
        <f aca="false">IFERROR(INDEX('Staff Master'!$D$5:$D$24,MATCH(C374,'Staff Master'!$A$5:$A$24,0)),"")</f>
        <v>Reception</v>
      </c>
      <c r="F374" s="16" t="str">
        <f aca="false">IFERROR(INDEX('Staff Master'!$E$5:$E$24,MATCH(C374,'Staff Master'!$A$5:$A$24,0)),"")</f>
        <v>Receptionist</v>
      </c>
      <c r="G374" s="10" t="s">
        <v>97</v>
      </c>
      <c r="H374" s="17" t="n">
        <f aca="false">IFERROR(INDEX('Shift Master'!$C$5:$C$16,MATCH(G374,'Shift Master'!$A$5:$A$16,0)),"")</f>
        <v>0</v>
      </c>
      <c r="I374" s="17" t="n">
        <f aca="false">IFERROR(INDEX('Shift Master'!$D$5:$D$16,MATCH(G374,'Shift Master'!$A$5:$A$16,0)),"")</f>
        <v>0</v>
      </c>
      <c r="J374" s="16" t="n">
        <f aca="false">IFERROR(INDEX('Shift Master'!$E$5:$E$16,MATCH(G374,'Shift Master'!$A$5:$A$16,0)),"")</f>
        <v>0</v>
      </c>
      <c r="K374" s="16" t="n">
        <f aca="false">IFERROR(INDEX('Shift Master'!$G$5:$G$16,MATCH(G374,'Shift Master'!$A$5:$A$16,0)),0)</f>
        <v>0</v>
      </c>
      <c r="L374" s="16" t="s">
        <v>228</v>
      </c>
      <c r="M374" s="16" t="s">
        <v>229</v>
      </c>
      <c r="N374" s="16" t="str">
        <f aca="false">IF(COUNTIFS('Staffing Coverage'!$A$5:$A$12,E374,'Staffing Coverage'!$B$5:$B$12,G374)=0,"",IF(COUNTIFS($A$5:$A$10004,A374,$E$5:$E$10004,E374,$G$5:$G$10004,G374)&lt;INDEX('Staffing Coverage'!$C$5:$C$12,MATCH(1,('Staffing Coverage'!$A$5:$A$12=E374)*('Staffing Coverage'!$B$5:$B$12=G374),0)),"SHORT","OK"))</f>
        <v/>
      </c>
    </row>
    <row r="375" customFormat="false" ht="15" hidden="false" customHeight="false" outlineLevel="0" collapsed="false">
      <c r="A375" s="15" t="n">
        <v>46314</v>
      </c>
      <c r="B375" s="16" t="str">
        <f aca="false">TEXT(A375,"ddd")</f>
        <v>Mon</v>
      </c>
      <c r="C375" s="10" t="s">
        <v>179</v>
      </c>
      <c r="D375" s="16" t="str">
        <f aca="false">IFERROR(INDEX('Staff Master'!$B$5:$B$24,MATCH(C375,'Staff Master'!$A$5:$A$24,0)),"")</f>
        <v>John Dsouza</v>
      </c>
      <c r="E375" s="16" t="str">
        <f aca="false">IFERROR(INDEX('Staff Master'!$D$5:$D$24,MATCH(C375,'Staff Master'!$A$5:$A$24,0)),"")</f>
        <v>Reception</v>
      </c>
      <c r="F375" s="16" t="str">
        <f aca="false">IFERROR(INDEX('Staff Master'!$E$5:$E$24,MATCH(C375,'Staff Master'!$A$5:$A$24,0)),"")</f>
        <v>Receptionist</v>
      </c>
      <c r="G375" s="10" t="s">
        <v>90</v>
      </c>
      <c r="H375" s="17" t="n">
        <f aca="false">IFERROR(INDEX('Shift Master'!$C$5:$C$16,MATCH(G375,'Shift Master'!$A$5:$A$16,0)),"")</f>
        <v>0.375</v>
      </c>
      <c r="I375" s="17" t="n">
        <f aca="false">IFERROR(INDEX('Shift Master'!$D$5:$D$16,MATCH(G375,'Shift Master'!$A$5:$A$16,0)),"")</f>
        <v>0.75</v>
      </c>
      <c r="J375" s="16" t="n">
        <f aca="false">IFERROR(INDEX('Shift Master'!$E$5:$E$16,MATCH(G375,'Shift Master'!$A$5:$A$16,0)),"")</f>
        <v>60</v>
      </c>
      <c r="K375" s="16" t="n">
        <f aca="false">IFERROR(INDEX('Shift Master'!$G$5:$G$16,MATCH(G375,'Shift Master'!$A$5:$A$16,0)),0)</f>
        <v>8</v>
      </c>
      <c r="L375" s="16" t="s">
        <v>228</v>
      </c>
      <c r="M375" s="16" t="s">
        <v>229</v>
      </c>
      <c r="N375" s="16" t="str">
        <f aca="false">IF(COUNTIFS('Staffing Coverage'!$A$5:$A$12,E375,'Staffing Coverage'!$B$5:$B$12,G375)=0,"",IF(COUNTIFS($A$5:$A$10004,A375,$E$5:$E$10004,E375,$G$5:$G$10004,G375)&lt;INDEX('Staffing Coverage'!$C$5:$C$12,MATCH(1,('Staffing Coverage'!$A$5:$A$12=E375)*('Staffing Coverage'!$B$5:$B$12=G375),0)),"SHORT","OK"))</f>
        <v>SHORT</v>
      </c>
    </row>
    <row r="376" customFormat="false" ht="15" hidden="false" customHeight="false" outlineLevel="0" collapsed="false">
      <c r="A376" s="15" t="n">
        <v>46314</v>
      </c>
      <c r="B376" s="16" t="str">
        <f aca="false">TEXT(A376,"ddd")</f>
        <v>Mon</v>
      </c>
      <c r="C376" s="10" t="s">
        <v>184</v>
      </c>
      <c r="D376" s="16" t="str">
        <f aca="false">IFERROR(INDEX('Staff Master'!$B$5:$B$24,MATCH(C376,'Staff Master'!$A$5:$A$24,0)),"")</f>
        <v>Fatima Zahra</v>
      </c>
      <c r="E376" s="16" t="str">
        <f aca="false">IFERROR(INDEX('Staff Master'!$D$5:$D$24,MATCH(C376,'Staff Master'!$A$5:$A$24,0)),"")</f>
        <v>Reception</v>
      </c>
      <c r="F376" s="16" t="str">
        <f aca="false">IFERROR(INDEX('Staff Master'!$E$5:$E$24,MATCH(C376,'Staff Master'!$A$5:$A$24,0)),"")</f>
        <v>Receptionist</v>
      </c>
      <c r="G376" s="10" t="s">
        <v>94</v>
      </c>
      <c r="H376" s="17" t="n">
        <f aca="false">IFERROR(INDEX('Shift Master'!$C$5:$C$16,MATCH(G376,'Shift Master'!$A$5:$A$16,0)),"")</f>
        <v>0.541666666666667</v>
      </c>
      <c r="I376" s="17" t="n">
        <f aca="false">IFERROR(INDEX('Shift Master'!$D$5:$D$16,MATCH(G376,'Shift Master'!$A$5:$A$16,0)),"")</f>
        <v>0.916666666666667</v>
      </c>
      <c r="J376" s="16" t="n">
        <f aca="false">IFERROR(INDEX('Shift Master'!$E$5:$E$16,MATCH(G376,'Shift Master'!$A$5:$A$16,0)),"")</f>
        <v>60</v>
      </c>
      <c r="K376" s="16" t="n">
        <f aca="false">IFERROR(INDEX('Shift Master'!$G$5:$G$16,MATCH(G376,'Shift Master'!$A$5:$A$16,0)),0)</f>
        <v>8</v>
      </c>
      <c r="L376" s="16" t="s">
        <v>228</v>
      </c>
      <c r="M376" s="16" t="s">
        <v>229</v>
      </c>
      <c r="N376" s="16" t="str">
        <f aca="false">IF(COUNTIFS('Staffing Coverage'!$A$5:$A$12,E376,'Staffing Coverage'!$B$5:$B$12,G376)=0,"",IF(COUNTIFS($A$5:$A$10004,A376,$E$5:$E$10004,E376,$G$5:$G$10004,G376)&lt;INDEX('Staffing Coverage'!$C$5:$C$12,MATCH(1,('Staffing Coverage'!$A$5:$A$12=E376)*('Staffing Coverage'!$B$5:$B$12=G376),0)),"SHORT","OK"))</f>
        <v>OK</v>
      </c>
    </row>
    <row r="377" customFormat="false" ht="15" hidden="false" customHeight="false" outlineLevel="0" collapsed="false">
      <c r="A377" s="15" t="n">
        <v>46314</v>
      </c>
      <c r="B377" s="16" t="str">
        <f aca="false">TEXT(A377,"ddd")</f>
        <v>Mon</v>
      </c>
      <c r="C377" s="10" t="s">
        <v>188</v>
      </c>
      <c r="D377" s="16" t="str">
        <f aca="false">IFERROR(INDEX('Staff Master'!$B$5:$B$24,MATCH(C377,'Staff Master'!$A$5:$A$24,0)),"")</f>
        <v>Ana Reyes</v>
      </c>
      <c r="E377" s="16" t="str">
        <f aca="false">IFERROR(INDEX('Staff Master'!$D$5:$D$24,MATCH(C377,'Staff Master'!$A$5:$A$24,0)),"")</f>
        <v>Dental</v>
      </c>
      <c r="F377" s="16" t="str">
        <f aca="false">IFERROR(INDEX('Staff Master'!$E$5:$E$24,MATCH(C377,'Staff Master'!$A$5:$A$24,0)),"")</f>
        <v>Dental Assistant</v>
      </c>
      <c r="G377" s="10" t="s">
        <v>87</v>
      </c>
      <c r="H377" s="17" t="n">
        <f aca="false">IFERROR(INDEX('Shift Master'!$C$5:$C$16,MATCH(G377,'Shift Master'!$A$5:$A$16,0)),"")</f>
        <v>0.333333333333333</v>
      </c>
      <c r="I377" s="17" t="n">
        <f aca="false">IFERROR(INDEX('Shift Master'!$D$5:$D$16,MATCH(G377,'Shift Master'!$A$5:$A$16,0)),"")</f>
        <v>0.708333333333333</v>
      </c>
      <c r="J377" s="16" t="n">
        <f aca="false">IFERROR(INDEX('Shift Master'!$E$5:$E$16,MATCH(G377,'Shift Master'!$A$5:$A$16,0)),"")</f>
        <v>60</v>
      </c>
      <c r="K377" s="16" t="n">
        <f aca="false">IFERROR(INDEX('Shift Master'!$G$5:$G$16,MATCH(G377,'Shift Master'!$A$5:$A$16,0)),0)</f>
        <v>8</v>
      </c>
      <c r="L377" s="16" t="s">
        <v>228</v>
      </c>
      <c r="M377" s="16" t="s">
        <v>229</v>
      </c>
      <c r="N377" s="16" t="str">
        <f aca="false">IF(COUNTIFS('Staffing Coverage'!$A$5:$A$12,E377,'Staffing Coverage'!$B$5:$B$12,G377)=0,"",IF(COUNTIFS($A$5:$A$10004,A377,$E$5:$E$10004,E377,$G$5:$G$10004,G377)&lt;INDEX('Staffing Coverage'!$C$5:$C$12,MATCH(1,('Staffing Coverage'!$A$5:$A$12=E377)*('Staffing Coverage'!$B$5:$B$12=G377),0)),"SHORT","OK"))</f>
        <v>OK</v>
      </c>
    </row>
    <row r="378" customFormat="false" ht="15" hidden="false" customHeight="false" outlineLevel="0" collapsed="false">
      <c r="A378" s="15" t="n">
        <v>46314</v>
      </c>
      <c r="B378" s="16" t="str">
        <f aca="false">TEXT(A378,"ddd")</f>
        <v>Mon</v>
      </c>
      <c r="C378" s="10" t="s">
        <v>192</v>
      </c>
      <c r="D378" s="16" t="str">
        <f aca="false">IFERROR(INDEX('Staff Master'!$B$5:$B$24,MATCH(C378,'Staff Master'!$A$5:$A$24,0)),"")</f>
        <v>Noor Hassan</v>
      </c>
      <c r="E378" s="16" t="str">
        <f aca="false">IFERROR(INDEX('Staff Master'!$D$5:$D$24,MATCH(C378,'Staff Master'!$A$5:$A$24,0)),"")</f>
        <v>Dental</v>
      </c>
      <c r="F378" s="16" t="str">
        <f aca="false">IFERROR(INDEX('Staff Master'!$E$5:$E$24,MATCH(C378,'Staff Master'!$A$5:$A$24,0)),"")</f>
        <v>Dental Assistant</v>
      </c>
      <c r="G378" s="10" t="s">
        <v>90</v>
      </c>
      <c r="H378" s="17" t="n">
        <f aca="false">IFERROR(INDEX('Shift Master'!$C$5:$C$16,MATCH(G378,'Shift Master'!$A$5:$A$16,0)),"")</f>
        <v>0.375</v>
      </c>
      <c r="I378" s="17" t="n">
        <f aca="false">IFERROR(INDEX('Shift Master'!$D$5:$D$16,MATCH(G378,'Shift Master'!$A$5:$A$16,0)),"")</f>
        <v>0.75</v>
      </c>
      <c r="J378" s="16" t="n">
        <f aca="false">IFERROR(INDEX('Shift Master'!$E$5:$E$16,MATCH(G378,'Shift Master'!$A$5:$A$16,0)),"")</f>
        <v>60</v>
      </c>
      <c r="K378" s="16" t="n">
        <f aca="false">IFERROR(INDEX('Shift Master'!$G$5:$G$16,MATCH(G378,'Shift Master'!$A$5:$A$16,0)),0)</f>
        <v>8</v>
      </c>
      <c r="L378" s="16" t="s">
        <v>228</v>
      </c>
      <c r="M378" s="16" t="s">
        <v>229</v>
      </c>
      <c r="N378" s="16" t="str">
        <f aca="false">IF(COUNTIFS('Staffing Coverage'!$A$5:$A$12,E378,'Staffing Coverage'!$B$5:$B$12,G378)=0,"",IF(COUNTIFS($A$5:$A$10004,A378,$E$5:$E$10004,E378,$G$5:$G$10004,G378)&lt;INDEX('Staffing Coverage'!$C$5:$C$12,MATCH(1,('Staffing Coverage'!$A$5:$A$12=E378)*('Staffing Coverage'!$B$5:$B$12=G378),0)),"SHORT","OK"))</f>
        <v/>
      </c>
    </row>
    <row r="379" customFormat="false" ht="15" hidden="false" customHeight="false" outlineLevel="0" collapsed="false">
      <c r="A379" s="15" t="n">
        <v>46314</v>
      </c>
      <c r="B379" s="16" t="str">
        <f aca="false">TEXT(A379,"ddd")</f>
        <v>Mon</v>
      </c>
      <c r="C379" s="10" t="s">
        <v>196</v>
      </c>
      <c r="D379" s="16" t="str">
        <f aca="false">IFERROR(INDEX('Staff Master'!$B$5:$B$24,MATCH(C379,'Staff Master'!$A$5:$A$24,0)),"")</f>
        <v>Karan Mehta</v>
      </c>
      <c r="E379" s="16" t="str">
        <f aca="false">IFERROR(INDEX('Staff Master'!$D$5:$D$24,MATCH(C379,'Staff Master'!$A$5:$A$24,0)),"")</f>
        <v>Laser</v>
      </c>
      <c r="F379" s="16" t="str">
        <f aca="false">IFERROR(INDEX('Staff Master'!$E$5:$E$24,MATCH(C379,'Staff Master'!$A$5:$A$24,0)),"")</f>
        <v>Laser Technician</v>
      </c>
      <c r="G379" s="10" t="s">
        <v>90</v>
      </c>
      <c r="H379" s="17" t="n">
        <f aca="false">IFERROR(INDEX('Shift Master'!$C$5:$C$16,MATCH(G379,'Shift Master'!$A$5:$A$16,0)),"")</f>
        <v>0.375</v>
      </c>
      <c r="I379" s="17" t="n">
        <f aca="false">IFERROR(INDEX('Shift Master'!$D$5:$D$16,MATCH(G379,'Shift Master'!$A$5:$A$16,0)),"")</f>
        <v>0.75</v>
      </c>
      <c r="J379" s="16" t="n">
        <f aca="false">IFERROR(INDEX('Shift Master'!$E$5:$E$16,MATCH(G379,'Shift Master'!$A$5:$A$16,0)),"")</f>
        <v>60</v>
      </c>
      <c r="K379" s="16" t="n">
        <f aca="false">IFERROR(INDEX('Shift Master'!$G$5:$G$16,MATCH(G379,'Shift Master'!$A$5:$A$16,0)),0)</f>
        <v>8</v>
      </c>
      <c r="L379" s="16" t="s">
        <v>228</v>
      </c>
      <c r="M379" s="16" t="s">
        <v>229</v>
      </c>
      <c r="N379" s="16" t="str">
        <f aca="false">IF(COUNTIFS('Staffing Coverage'!$A$5:$A$12,E379,'Staffing Coverage'!$B$5:$B$12,G379)=0,"",IF(COUNTIFS($A$5:$A$10004,A379,$E$5:$E$10004,E379,$G$5:$G$10004,G379)&lt;INDEX('Staffing Coverage'!$C$5:$C$12,MATCH(1,('Staffing Coverage'!$A$5:$A$12=E379)*('Staffing Coverage'!$B$5:$B$12=G379),0)),"SHORT","OK"))</f>
        <v/>
      </c>
    </row>
    <row r="380" customFormat="false" ht="15" hidden="false" customHeight="false" outlineLevel="0" collapsed="false">
      <c r="A380" s="15" t="n">
        <v>46314</v>
      </c>
      <c r="B380" s="16" t="str">
        <f aca="false">TEXT(A380,"ddd")</f>
        <v>Mon</v>
      </c>
      <c r="C380" s="10" t="s">
        <v>200</v>
      </c>
      <c r="D380" s="16" t="str">
        <f aca="false">IFERROR(INDEX('Staff Master'!$B$5:$B$24,MATCH(C380,'Staff Master'!$A$5:$A$24,0)),"")</f>
        <v>Imran Sheikh</v>
      </c>
      <c r="E380" s="16" t="str">
        <f aca="false">IFERROR(INDEX('Staff Master'!$D$5:$D$24,MATCH(C380,'Staff Master'!$A$5:$A$24,0)),"")</f>
        <v>Dental Laboratory</v>
      </c>
      <c r="F380" s="16" t="str">
        <f aca="false">IFERROR(INDEX('Staff Master'!$E$5:$E$24,MATCH(C380,'Staff Master'!$A$5:$A$24,0)),"")</f>
        <v>Dental Technician</v>
      </c>
      <c r="G380" s="10" t="s">
        <v>87</v>
      </c>
      <c r="H380" s="17" t="n">
        <f aca="false">IFERROR(INDEX('Shift Master'!$C$5:$C$16,MATCH(G380,'Shift Master'!$A$5:$A$16,0)),"")</f>
        <v>0.333333333333333</v>
      </c>
      <c r="I380" s="17" t="n">
        <f aca="false">IFERROR(INDEX('Shift Master'!$D$5:$D$16,MATCH(G380,'Shift Master'!$A$5:$A$16,0)),"")</f>
        <v>0.708333333333333</v>
      </c>
      <c r="J380" s="16" t="n">
        <f aca="false">IFERROR(INDEX('Shift Master'!$E$5:$E$16,MATCH(G380,'Shift Master'!$A$5:$A$16,0)),"")</f>
        <v>60</v>
      </c>
      <c r="K380" s="16" t="n">
        <f aca="false">IFERROR(INDEX('Shift Master'!$G$5:$G$16,MATCH(G380,'Shift Master'!$A$5:$A$16,0)),0)</f>
        <v>8</v>
      </c>
      <c r="L380" s="16" t="s">
        <v>228</v>
      </c>
      <c r="M380" s="16" t="s">
        <v>229</v>
      </c>
      <c r="N380" s="16" t="str">
        <f aca="false">IF(COUNTIFS('Staffing Coverage'!$A$5:$A$12,E380,'Staffing Coverage'!$B$5:$B$12,G380)=0,"",IF(COUNTIFS($A$5:$A$10004,A380,$E$5:$E$10004,E380,$G$5:$G$10004,G380)&lt;INDEX('Staffing Coverage'!$C$5:$C$12,MATCH(1,('Staffing Coverage'!$A$5:$A$12=E380)*('Staffing Coverage'!$B$5:$B$12=G380),0)),"SHORT","OK"))</f>
        <v/>
      </c>
    </row>
    <row r="381" customFormat="false" ht="15" hidden="false" customHeight="false" outlineLevel="0" collapsed="false">
      <c r="A381" s="15" t="n">
        <v>46314</v>
      </c>
      <c r="B381" s="16" t="str">
        <f aca="false">TEXT(A381,"ddd")</f>
        <v>Mon</v>
      </c>
      <c r="C381" s="10" t="s">
        <v>204</v>
      </c>
      <c r="D381" s="16" t="str">
        <f aca="false">IFERROR(INDEX('Staff Master'!$B$5:$B$24,MATCH(C381,'Staff Master'!$A$5:$A$24,0)),"")</f>
        <v>Josephine Cruz</v>
      </c>
      <c r="E381" s="16" t="str">
        <f aca="false">IFERROR(INDEX('Staff Master'!$D$5:$D$24,MATCH(C381,'Staff Master'!$A$5:$A$24,0)),"")</f>
        <v>CSSD</v>
      </c>
      <c r="F381" s="16" t="str">
        <f aca="false">IFERROR(INDEX('Staff Master'!$E$5:$E$24,MATCH(C381,'Staff Master'!$A$5:$A$24,0)),"")</f>
        <v>CSSD Technician</v>
      </c>
      <c r="G381" s="10" t="s">
        <v>87</v>
      </c>
      <c r="H381" s="17" t="n">
        <f aca="false">IFERROR(INDEX('Shift Master'!$C$5:$C$16,MATCH(G381,'Shift Master'!$A$5:$A$16,0)),"")</f>
        <v>0.333333333333333</v>
      </c>
      <c r="I381" s="17" t="n">
        <f aca="false">IFERROR(INDEX('Shift Master'!$D$5:$D$16,MATCH(G381,'Shift Master'!$A$5:$A$16,0)),"")</f>
        <v>0.708333333333333</v>
      </c>
      <c r="J381" s="16" t="n">
        <f aca="false">IFERROR(INDEX('Shift Master'!$E$5:$E$16,MATCH(G381,'Shift Master'!$A$5:$A$16,0)),"")</f>
        <v>60</v>
      </c>
      <c r="K381" s="16" t="n">
        <f aca="false">IFERROR(INDEX('Shift Master'!$G$5:$G$16,MATCH(G381,'Shift Master'!$A$5:$A$16,0)),0)</f>
        <v>8</v>
      </c>
      <c r="L381" s="16" t="s">
        <v>228</v>
      </c>
      <c r="M381" s="16" t="s">
        <v>229</v>
      </c>
      <c r="N381" s="16" t="str">
        <f aca="false">IF(COUNTIFS('Staffing Coverage'!$A$5:$A$12,E381,'Staffing Coverage'!$B$5:$B$12,G381)=0,"",IF(COUNTIFS($A$5:$A$10004,A381,$E$5:$E$10004,E381,$G$5:$G$10004,G381)&lt;INDEX('Staffing Coverage'!$C$5:$C$12,MATCH(1,('Staffing Coverage'!$A$5:$A$12=E381)*('Staffing Coverage'!$B$5:$B$12=G381),0)),"SHORT","OK"))</f>
        <v>OK</v>
      </c>
    </row>
    <row r="382" customFormat="false" ht="15" hidden="false" customHeight="false" outlineLevel="0" collapsed="false">
      <c r="A382" s="15" t="n">
        <v>46314</v>
      </c>
      <c r="B382" s="16" t="str">
        <f aca="false">TEXT(A382,"ddd")</f>
        <v>Mon</v>
      </c>
      <c r="C382" s="10" t="s">
        <v>208</v>
      </c>
      <c r="D382" s="16" t="str">
        <f aca="false">IFERROR(INDEX('Staff Master'!$B$5:$B$24,MATCH(C382,'Staff Master'!$A$5:$A$24,0)),"")</f>
        <v>Rosalyn Tan</v>
      </c>
      <c r="E382" s="16" t="str">
        <f aca="false">IFERROR(INDEX('Staff Master'!$D$5:$D$24,MATCH(C382,'Staff Master'!$A$5:$A$24,0)),"")</f>
        <v>Cleaning</v>
      </c>
      <c r="F382" s="16" t="str">
        <f aca="false">IFERROR(INDEX('Staff Master'!$E$5:$E$24,MATCH(C382,'Staff Master'!$A$5:$A$24,0)),"")</f>
        <v>Cleaner</v>
      </c>
      <c r="G382" s="10" t="s">
        <v>87</v>
      </c>
      <c r="H382" s="17" t="n">
        <f aca="false">IFERROR(INDEX('Shift Master'!$C$5:$C$16,MATCH(G382,'Shift Master'!$A$5:$A$16,0)),"")</f>
        <v>0.333333333333333</v>
      </c>
      <c r="I382" s="17" t="n">
        <f aca="false">IFERROR(INDEX('Shift Master'!$D$5:$D$16,MATCH(G382,'Shift Master'!$A$5:$A$16,0)),"")</f>
        <v>0.708333333333333</v>
      </c>
      <c r="J382" s="16" t="n">
        <f aca="false">IFERROR(INDEX('Shift Master'!$E$5:$E$16,MATCH(G382,'Shift Master'!$A$5:$A$16,0)),"")</f>
        <v>60</v>
      </c>
      <c r="K382" s="16" t="n">
        <f aca="false">IFERROR(INDEX('Shift Master'!$G$5:$G$16,MATCH(G382,'Shift Master'!$A$5:$A$16,0)),0)</f>
        <v>8</v>
      </c>
      <c r="L382" s="16" t="s">
        <v>228</v>
      </c>
      <c r="M382" s="16" t="s">
        <v>229</v>
      </c>
      <c r="N382" s="16" t="str">
        <f aca="false">IF(COUNTIFS('Staffing Coverage'!$A$5:$A$12,E382,'Staffing Coverage'!$B$5:$B$12,G382)=0,"",IF(COUNTIFS($A$5:$A$10004,A382,$E$5:$E$10004,E382,$G$5:$G$10004,G382)&lt;INDEX('Staffing Coverage'!$C$5:$C$12,MATCH(1,('Staffing Coverage'!$A$5:$A$12=E382)*('Staffing Coverage'!$B$5:$B$12=G382),0)),"SHORT","OK"))</f>
        <v>OK</v>
      </c>
    </row>
    <row r="383" customFormat="false" ht="15" hidden="false" customHeight="false" outlineLevel="0" collapsed="false">
      <c r="A383" s="15" t="n">
        <v>46314</v>
      </c>
      <c r="B383" s="16" t="str">
        <f aca="false">TEXT(A383,"ddd")</f>
        <v>Mon</v>
      </c>
      <c r="C383" s="10" t="s">
        <v>212</v>
      </c>
      <c r="D383" s="16" t="str">
        <f aca="false">IFERROR(INDEX('Staff Master'!$B$5:$B$24,MATCH(C383,'Staff Master'!$A$5:$A$24,0)),"")</f>
        <v>Hassan Baig</v>
      </c>
      <c r="E383" s="16" t="str">
        <f aca="false">IFERROR(INDEX('Staff Master'!$D$5:$D$24,MATCH(C383,'Staff Master'!$A$5:$A$24,0)),"")</f>
        <v>Facilities</v>
      </c>
      <c r="F383" s="16" t="str">
        <f aca="false">IFERROR(INDEX('Staff Master'!$E$5:$E$24,MATCH(C383,'Staff Master'!$A$5:$A$24,0)),"")</f>
        <v>Facility Manager</v>
      </c>
      <c r="G383" s="10" t="s">
        <v>90</v>
      </c>
      <c r="H383" s="17" t="n">
        <f aca="false">IFERROR(INDEX('Shift Master'!$C$5:$C$16,MATCH(G383,'Shift Master'!$A$5:$A$16,0)),"")</f>
        <v>0.375</v>
      </c>
      <c r="I383" s="17" t="n">
        <f aca="false">IFERROR(INDEX('Shift Master'!$D$5:$D$16,MATCH(G383,'Shift Master'!$A$5:$A$16,0)),"")</f>
        <v>0.75</v>
      </c>
      <c r="J383" s="16" t="n">
        <f aca="false">IFERROR(INDEX('Shift Master'!$E$5:$E$16,MATCH(G383,'Shift Master'!$A$5:$A$16,0)),"")</f>
        <v>60</v>
      </c>
      <c r="K383" s="16" t="n">
        <f aca="false">IFERROR(INDEX('Shift Master'!$G$5:$G$16,MATCH(G383,'Shift Master'!$A$5:$A$16,0)),0)</f>
        <v>8</v>
      </c>
      <c r="L383" s="16" t="s">
        <v>228</v>
      </c>
      <c r="M383" s="16" t="s">
        <v>229</v>
      </c>
      <c r="N383" s="16" t="str">
        <f aca="false">IF(COUNTIFS('Staffing Coverage'!$A$5:$A$12,E383,'Staffing Coverage'!$B$5:$B$12,G383)=0,"",IF(COUNTIFS($A$5:$A$10004,A383,$E$5:$E$10004,E383,$G$5:$G$10004,G383)&lt;INDEX('Staffing Coverage'!$C$5:$C$12,MATCH(1,('Staffing Coverage'!$A$5:$A$12=E383)*('Staffing Coverage'!$B$5:$B$12=G383),0)),"SHORT","OK"))</f>
        <v/>
      </c>
    </row>
    <row r="384" customFormat="false" ht="15" hidden="false" customHeight="false" outlineLevel="0" collapsed="false">
      <c r="A384" s="15" t="n">
        <v>46314</v>
      </c>
      <c r="B384" s="16" t="str">
        <f aca="false">TEXT(A384,"ddd")</f>
        <v>Mon</v>
      </c>
      <c r="C384" s="10" t="s">
        <v>178</v>
      </c>
      <c r="D384" s="16" t="str">
        <f aca="false">IFERROR(INDEX('Staff Master'!$B$5:$B$24,MATCH(C384,'Staff Master'!$A$5:$A$24,0)),"")</f>
        <v>Meera Pillai</v>
      </c>
      <c r="E384" s="16" t="str">
        <f aca="false">IFERROR(INDEX('Staff Master'!$D$5:$D$24,MATCH(C384,'Staff Master'!$A$5:$A$24,0)),"")</f>
        <v>HR</v>
      </c>
      <c r="F384" s="16" t="str">
        <f aca="false">IFERROR(INDEX('Staff Master'!$E$5:$E$24,MATCH(C384,'Staff Master'!$A$5:$A$24,0)),"")</f>
        <v>HR Executive</v>
      </c>
      <c r="G384" s="10" t="s">
        <v>90</v>
      </c>
      <c r="H384" s="17" t="n">
        <f aca="false">IFERROR(INDEX('Shift Master'!$C$5:$C$16,MATCH(G384,'Shift Master'!$A$5:$A$16,0)),"")</f>
        <v>0.375</v>
      </c>
      <c r="I384" s="17" t="n">
        <f aca="false">IFERROR(INDEX('Shift Master'!$D$5:$D$16,MATCH(G384,'Shift Master'!$A$5:$A$16,0)),"")</f>
        <v>0.75</v>
      </c>
      <c r="J384" s="16" t="n">
        <f aca="false">IFERROR(INDEX('Shift Master'!$E$5:$E$16,MATCH(G384,'Shift Master'!$A$5:$A$16,0)),"")</f>
        <v>60</v>
      </c>
      <c r="K384" s="16" t="n">
        <f aca="false">IFERROR(INDEX('Shift Master'!$G$5:$G$16,MATCH(G384,'Shift Master'!$A$5:$A$16,0)),0)</f>
        <v>8</v>
      </c>
      <c r="L384" s="16" t="s">
        <v>228</v>
      </c>
      <c r="M384" s="16" t="s">
        <v>229</v>
      </c>
      <c r="N384" s="16" t="str">
        <f aca="false">IF(COUNTIFS('Staffing Coverage'!$A$5:$A$12,E384,'Staffing Coverage'!$B$5:$B$12,G384)=0,"",IF(COUNTIFS($A$5:$A$10004,A384,$E$5:$E$10004,E384,$G$5:$G$10004,G384)&lt;INDEX('Staffing Coverage'!$C$5:$C$12,MATCH(1,('Staffing Coverage'!$A$5:$A$12=E384)*('Staffing Coverage'!$B$5:$B$12=G384),0)),"SHORT","OK"))</f>
        <v/>
      </c>
    </row>
    <row r="385" customFormat="false" ht="15" hidden="false" customHeight="false" outlineLevel="0" collapsed="false">
      <c r="A385" s="15" t="n">
        <v>46315</v>
      </c>
      <c r="B385" s="16" t="str">
        <f aca="false">TEXT(A385,"ddd")</f>
        <v>Tue</v>
      </c>
      <c r="C385" s="10" t="s">
        <v>128</v>
      </c>
      <c r="D385" s="16" t="str">
        <f aca="false">IFERROR(INDEX('Staff Master'!$B$5:$B$24,MATCH(C385,'Staff Master'!$A$5:$A$24,0)),"")</f>
        <v>Rashid Al Nuaimi</v>
      </c>
      <c r="E385" s="16" t="str">
        <f aca="false">IFERROR(INDEX('Staff Master'!$D$5:$D$24,MATCH(C385,'Staff Master'!$A$5:$A$24,0)),"")</f>
        <v>Management</v>
      </c>
      <c r="F385" s="16" t="str">
        <f aca="false">IFERROR(INDEX('Staff Master'!$E$5:$E$24,MATCH(C385,'Staff Master'!$A$5:$A$24,0)),"")</f>
        <v>CEO</v>
      </c>
      <c r="G385" s="10" t="s">
        <v>90</v>
      </c>
      <c r="H385" s="17" t="n">
        <f aca="false">IFERROR(INDEX('Shift Master'!$C$5:$C$16,MATCH(G385,'Shift Master'!$A$5:$A$16,0)),"")</f>
        <v>0.375</v>
      </c>
      <c r="I385" s="17" t="n">
        <f aca="false">IFERROR(INDEX('Shift Master'!$D$5:$D$16,MATCH(G385,'Shift Master'!$A$5:$A$16,0)),"")</f>
        <v>0.75</v>
      </c>
      <c r="J385" s="16" t="n">
        <f aca="false">IFERROR(INDEX('Shift Master'!$E$5:$E$16,MATCH(G385,'Shift Master'!$A$5:$A$16,0)),"")</f>
        <v>60</v>
      </c>
      <c r="K385" s="16" t="n">
        <f aca="false">IFERROR(INDEX('Shift Master'!$G$5:$G$16,MATCH(G385,'Shift Master'!$A$5:$A$16,0)),0)</f>
        <v>8</v>
      </c>
      <c r="L385" s="16" t="s">
        <v>228</v>
      </c>
      <c r="M385" s="16" t="s">
        <v>229</v>
      </c>
      <c r="N385" s="16" t="str">
        <f aca="false">IF(COUNTIFS('Staffing Coverage'!$A$5:$A$12,E385,'Staffing Coverage'!$B$5:$B$12,G385)=0,"",IF(COUNTIFS($A$5:$A$10004,A385,$E$5:$E$10004,E385,$G$5:$G$10004,G385)&lt;INDEX('Staffing Coverage'!$C$5:$C$12,MATCH(1,('Staffing Coverage'!$A$5:$A$12=E385)*('Staffing Coverage'!$B$5:$B$12=G385),0)),"SHORT","OK"))</f>
        <v/>
      </c>
    </row>
    <row r="386" customFormat="false" ht="15" hidden="false" customHeight="false" outlineLevel="0" collapsed="false">
      <c r="A386" s="15" t="n">
        <v>46315</v>
      </c>
      <c r="B386" s="16" t="str">
        <f aca="false">TEXT(A386,"ddd")</f>
        <v>Tue</v>
      </c>
      <c r="C386" s="10" t="s">
        <v>137</v>
      </c>
      <c r="D386" s="16" t="str">
        <f aca="false">IFERROR(INDEX('Staff Master'!$B$5:$B$24,MATCH(C386,'Staff Master'!$A$5:$A$24,0)),"")</f>
        <v>Dr. Sara Haddad</v>
      </c>
      <c r="E386" s="16" t="str">
        <f aca="false">IFERROR(INDEX('Staff Master'!$D$5:$D$24,MATCH(C386,'Staff Master'!$A$5:$A$24,0)),"")</f>
        <v>General Practice</v>
      </c>
      <c r="F386" s="16" t="str">
        <f aca="false">IFERROR(INDEX('Staff Master'!$E$5:$E$24,MATCH(C386,'Staff Master'!$A$5:$A$24,0)),"")</f>
        <v>Medical Director</v>
      </c>
      <c r="G386" s="10" t="s">
        <v>96</v>
      </c>
      <c r="H386" s="17" t="n">
        <f aca="false">IFERROR(INDEX('Shift Master'!$C$5:$C$16,MATCH(G386,'Shift Master'!$A$5:$A$16,0)),"")</f>
        <v>0.375</v>
      </c>
      <c r="I386" s="17" t="n">
        <f aca="false">IFERROR(INDEX('Shift Master'!$D$5:$D$16,MATCH(G386,'Shift Master'!$A$5:$A$16,0)),"")</f>
        <v>0.708333333333333</v>
      </c>
      <c r="J386" s="16" t="n">
        <f aca="false">IFERROR(INDEX('Shift Master'!$E$5:$E$16,MATCH(G386,'Shift Master'!$A$5:$A$16,0)),"")</f>
        <v>60</v>
      </c>
      <c r="K386" s="16" t="n">
        <f aca="false">IFERROR(INDEX('Shift Master'!$G$5:$G$16,MATCH(G386,'Shift Master'!$A$5:$A$16,0)),0)</f>
        <v>7</v>
      </c>
      <c r="L386" s="16" t="s">
        <v>228</v>
      </c>
      <c r="M386" s="16" t="s">
        <v>229</v>
      </c>
      <c r="N386" s="16" t="str">
        <f aca="false">IF(COUNTIFS('Staffing Coverage'!$A$5:$A$12,E386,'Staffing Coverage'!$B$5:$B$12,G386)=0,"",IF(COUNTIFS($A$5:$A$10004,A386,$E$5:$E$10004,E386,$G$5:$G$10004,G386)&lt;INDEX('Staffing Coverage'!$C$5:$C$12,MATCH(1,('Staffing Coverage'!$A$5:$A$12=E386)*('Staffing Coverage'!$B$5:$B$12=G386),0)),"SHORT","OK"))</f>
        <v/>
      </c>
    </row>
    <row r="387" customFormat="false" ht="15" hidden="false" customHeight="false" outlineLevel="0" collapsed="false">
      <c r="A387" s="15" t="n">
        <v>46315</v>
      </c>
      <c r="B387" s="16" t="str">
        <f aca="false">TEXT(A387,"ddd")</f>
        <v>Tue</v>
      </c>
      <c r="C387" s="10" t="s">
        <v>142</v>
      </c>
      <c r="D387" s="16" t="str">
        <f aca="false">IFERROR(INDEX('Staff Master'!$B$5:$B$24,MATCH(C387,'Staff Master'!$A$5:$A$24,0)),"")</f>
        <v>Dr. Omar Khalil</v>
      </c>
      <c r="E387" s="16" t="str">
        <f aca="false">IFERROR(INDEX('Staff Master'!$D$5:$D$24,MATCH(C387,'Staff Master'!$A$5:$A$24,0)),"")</f>
        <v>General Practice</v>
      </c>
      <c r="F387" s="16" t="str">
        <f aca="false">IFERROR(INDEX('Staff Master'!$E$5:$E$24,MATCH(C387,'Staff Master'!$A$5:$A$24,0)),"")</f>
        <v>Doctor</v>
      </c>
      <c r="G387" s="10" t="s">
        <v>96</v>
      </c>
      <c r="H387" s="17" t="n">
        <f aca="false">IFERROR(INDEX('Shift Master'!$C$5:$C$16,MATCH(G387,'Shift Master'!$A$5:$A$16,0)),"")</f>
        <v>0.375</v>
      </c>
      <c r="I387" s="17" t="n">
        <f aca="false">IFERROR(INDEX('Shift Master'!$D$5:$D$16,MATCH(G387,'Shift Master'!$A$5:$A$16,0)),"")</f>
        <v>0.708333333333333</v>
      </c>
      <c r="J387" s="16" t="n">
        <f aca="false">IFERROR(INDEX('Shift Master'!$E$5:$E$16,MATCH(G387,'Shift Master'!$A$5:$A$16,0)),"")</f>
        <v>60</v>
      </c>
      <c r="K387" s="16" t="n">
        <f aca="false">IFERROR(INDEX('Shift Master'!$G$5:$G$16,MATCH(G387,'Shift Master'!$A$5:$A$16,0)),0)</f>
        <v>7</v>
      </c>
      <c r="L387" s="16" t="s">
        <v>228</v>
      </c>
      <c r="M387" s="16" t="s">
        <v>229</v>
      </c>
      <c r="N387" s="16" t="str">
        <f aca="false">IF(COUNTIFS('Staffing Coverage'!$A$5:$A$12,E387,'Staffing Coverage'!$B$5:$B$12,G387)=0,"",IF(COUNTIFS($A$5:$A$10004,A387,$E$5:$E$10004,E387,$G$5:$G$10004,G387)&lt;INDEX('Staffing Coverage'!$C$5:$C$12,MATCH(1,('Staffing Coverage'!$A$5:$A$12=E387)*('Staffing Coverage'!$B$5:$B$12=G387),0)),"SHORT","OK"))</f>
        <v/>
      </c>
    </row>
    <row r="388" customFormat="false" ht="15" hidden="false" customHeight="false" outlineLevel="0" collapsed="false">
      <c r="A388" s="15" t="n">
        <v>46315</v>
      </c>
      <c r="B388" s="16" t="str">
        <f aca="false">TEXT(A388,"ddd")</f>
        <v>Tue</v>
      </c>
      <c r="C388" s="10" t="s">
        <v>146</v>
      </c>
      <c r="D388" s="16" t="str">
        <f aca="false">IFERROR(INDEX('Staff Master'!$B$5:$B$24,MATCH(C388,'Staff Master'!$A$5:$A$24,0)),"")</f>
        <v>Dr. Lina Abboud</v>
      </c>
      <c r="E388" s="16" t="str">
        <f aca="false">IFERROR(INDEX('Staff Master'!$D$5:$D$24,MATCH(C388,'Staff Master'!$A$5:$A$24,0)),"")</f>
        <v>Dental</v>
      </c>
      <c r="F388" s="16" t="str">
        <f aca="false">IFERROR(INDEX('Staff Master'!$E$5:$E$24,MATCH(C388,'Staff Master'!$A$5:$A$24,0)),"")</f>
        <v>Dentist</v>
      </c>
      <c r="G388" s="10" t="s">
        <v>96</v>
      </c>
      <c r="H388" s="17" t="n">
        <f aca="false">IFERROR(INDEX('Shift Master'!$C$5:$C$16,MATCH(G388,'Shift Master'!$A$5:$A$16,0)),"")</f>
        <v>0.375</v>
      </c>
      <c r="I388" s="17" t="n">
        <f aca="false">IFERROR(INDEX('Shift Master'!$D$5:$D$16,MATCH(G388,'Shift Master'!$A$5:$A$16,0)),"")</f>
        <v>0.708333333333333</v>
      </c>
      <c r="J388" s="16" t="n">
        <f aca="false">IFERROR(INDEX('Shift Master'!$E$5:$E$16,MATCH(G388,'Shift Master'!$A$5:$A$16,0)),"")</f>
        <v>60</v>
      </c>
      <c r="K388" s="16" t="n">
        <f aca="false">IFERROR(INDEX('Shift Master'!$G$5:$G$16,MATCH(G388,'Shift Master'!$A$5:$A$16,0)),0)</f>
        <v>7</v>
      </c>
      <c r="L388" s="16" t="s">
        <v>228</v>
      </c>
      <c r="M388" s="16" t="s">
        <v>229</v>
      </c>
      <c r="N388" s="16" t="str">
        <f aca="false">IF(COUNTIFS('Staffing Coverage'!$A$5:$A$12,E388,'Staffing Coverage'!$B$5:$B$12,G388)=0,"",IF(COUNTIFS($A$5:$A$10004,A388,$E$5:$E$10004,E388,$G$5:$G$10004,G388)&lt;INDEX('Staffing Coverage'!$C$5:$C$12,MATCH(1,('Staffing Coverage'!$A$5:$A$12=E388)*('Staffing Coverage'!$B$5:$B$12=G388),0)),"SHORT","OK"))</f>
        <v/>
      </c>
    </row>
    <row r="389" customFormat="false" ht="15" hidden="false" customHeight="false" outlineLevel="0" collapsed="false">
      <c r="A389" s="15" t="n">
        <v>46315</v>
      </c>
      <c r="B389" s="16" t="str">
        <f aca="false">TEXT(A389,"ddd")</f>
        <v>Tue</v>
      </c>
      <c r="C389" s="10" t="s">
        <v>150</v>
      </c>
      <c r="D389" s="16" t="str">
        <f aca="false">IFERROR(INDEX('Staff Master'!$B$5:$B$24,MATCH(C389,'Staff Master'!$A$5:$A$24,0)),"")</f>
        <v>Dr. Farah Idris</v>
      </c>
      <c r="E389" s="16" t="str">
        <f aca="false">IFERROR(INDEX('Staff Master'!$D$5:$D$24,MATCH(C389,'Staff Master'!$A$5:$A$24,0)),"")</f>
        <v>Dental</v>
      </c>
      <c r="F389" s="16" t="str">
        <f aca="false">IFERROR(INDEX('Staff Master'!$E$5:$E$24,MATCH(C389,'Staff Master'!$A$5:$A$24,0)),"")</f>
        <v>Dentist</v>
      </c>
      <c r="G389" s="10" t="s">
        <v>96</v>
      </c>
      <c r="H389" s="17" t="n">
        <f aca="false">IFERROR(INDEX('Shift Master'!$C$5:$C$16,MATCH(G389,'Shift Master'!$A$5:$A$16,0)),"")</f>
        <v>0.375</v>
      </c>
      <c r="I389" s="17" t="n">
        <f aca="false">IFERROR(INDEX('Shift Master'!$D$5:$D$16,MATCH(G389,'Shift Master'!$A$5:$A$16,0)),"")</f>
        <v>0.708333333333333</v>
      </c>
      <c r="J389" s="16" t="n">
        <f aca="false">IFERROR(INDEX('Shift Master'!$E$5:$E$16,MATCH(G389,'Shift Master'!$A$5:$A$16,0)),"")</f>
        <v>60</v>
      </c>
      <c r="K389" s="16" t="n">
        <f aca="false">IFERROR(INDEX('Shift Master'!$G$5:$G$16,MATCH(G389,'Shift Master'!$A$5:$A$16,0)),0)</f>
        <v>7</v>
      </c>
      <c r="L389" s="16" t="s">
        <v>228</v>
      </c>
      <c r="M389" s="16" t="s">
        <v>229</v>
      </c>
      <c r="N389" s="16" t="str">
        <f aca="false">IF(COUNTIFS('Staffing Coverage'!$A$5:$A$12,E389,'Staffing Coverage'!$B$5:$B$12,G389)=0,"",IF(COUNTIFS($A$5:$A$10004,A389,$E$5:$E$10004,E389,$G$5:$G$10004,G389)&lt;INDEX('Staffing Coverage'!$C$5:$C$12,MATCH(1,('Staffing Coverage'!$A$5:$A$12=E389)*('Staffing Coverage'!$B$5:$B$12=G389),0)),"SHORT","OK"))</f>
        <v/>
      </c>
    </row>
    <row r="390" customFormat="false" ht="15" hidden="false" customHeight="false" outlineLevel="0" collapsed="false">
      <c r="A390" s="15" t="n">
        <v>46315</v>
      </c>
      <c r="B390" s="16" t="str">
        <f aca="false">TEXT(A390,"ddd")</f>
        <v>Tue</v>
      </c>
      <c r="C390" s="10" t="s">
        <v>157</v>
      </c>
      <c r="D390" s="16" t="str">
        <f aca="false">IFERROR(INDEX('Staff Master'!$B$5:$B$24,MATCH(C390,'Staff Master'!$A$5:$A$24,0)),"")</f>
        <v>Dr. Youssef Nassar</v>
      </c>
      <c r="E390" s="16" t="str">
        <f aca="false">IFERROR(INDEX('Staff Master'!$D$5:$D$24,MATCH(C390,'Staff Master'!$A$5:$A$24,0)),"")</f>
        <v>General Practice</v>
      </c>
      <c r="F390" s="16" t="str">
        <f aca="false">IFERROR(INDEX('Staff Master'!$E$5:$E$24,MATCH(C390,'Staff Master'!$A$5:$A$24,0)),"")</f>
        <v>General Practitioner</v>
      </c>
      <c r="G390" s="10" t="s">
        <v>96</v>
      </c>
      <c r="H390" s="17" t="n">
        <f aca="false">IFERROR(INDEX('Shift Master'!$C$5:$C$16,MATCH(G390,'Shift Master'!$A$5:$A$16,0)),"")</f>
        <v>0.375</v>
      </c>
      <c r="I390" s="17" t="n">
        <f aca="false">IFERROR(INDEX('Shift Master'!$D$5:$D$16,MATCH(G390,'Shift Master'!$A$5:$A$16,0)),"")</f>
        <v>0.708333333333333</v>
      </c>
      <c r="J390" s="16" t="n">
        <f aca="false">IFERROR(INDEX('Shift Master'!$E$5:$E$16,MATCH(G390,'Shift Master'!$A$5:$A$16,0)),"")</f>
        <v>60</v>
      </c>
      <c r="K390" s="16" t="n">
        <f aca="false">IFERROR(INDEX('Shift Master'!$G$5:$G$16,MATCH(G390,'Shift Master'!$A$5:$A$16,0)),0)</f>
        <v>7</v>
      </c>
      <c r="L390" s="16" t="s">
        <v>228</v>
      </c>
      <c r="M390" s="16" t="s">
        <v>229</v>
      </c>
      <c r="N390" s="16" t="str">
        <f aca="false">IF(COUNTIFS('Staffing Coverage'!$A$5:$A$12,E390,'Staffing Coverage'!$B$5:$B$12,G390)=0,"",IF(COUNTIFS($A$5:$A$10004,A390,$E$5:$E$10004,E390,$G$5:$G$10004,G390)&lt;INDEX('Staffing Coverage'!$C$5:$C$12,MATCH(1,('Staffing Coverage'!$A$5:$A$12=E390)*('Staffing Coverage'!$B$5:$B$12=G390),0)),"SHORT","OK"))</f>
        <v/>
      </c>
    </row>
    <row r="391" customFormat="false" ht="15" hidden="false" customHeight="false" outlineLevel="0" collapsed="false">
      <c r="A391" s="15" t="n">
        <v>46315</v>
      </c>
      <c r="B391" s="16" t="str">
        <f aca="false">TEXT(A391,"ddd")</f>
        <v>Tue</v>
      </c>
      <c r="C391" s="10" t="s">
        <v>161</v>
      </c>
      <c r="D391" s="16" t="str">
        <f aca="false">IFERROR(INDEX('Staff Master'!$B$5:$B$24,MATCH(C391,'Staff Master'!$A$5:$A$24,0)),"")</f>
        <v>Grace Fernandez</v>
      </c>
      <c r="E391" s="16" t="str">
        <f aca="false">IFERROR(INDEX('Staff Master'!$D$5:$D$24,MATCH(C391,'Staff Master'!$A$5:$A$24,0)),"")</f>
        <v>Nursing</v>
      </c>
      <c r="F391" s="16" t="str">
        <f aca="false">IFERROR(INDEX('Staff Master'!$E$5:$E$24,MATCH(C391,'Staff Master'!$A$5:$A$24,0)),"")</f>
        <v>Nurse</v>
      </c>
      <c r="G391" s="10" t="s">
        <v>87</v>
      </c>
      <c r="H391" s="17" t="n">
        <f aca="false">IFERROR(INDEX('Shift Master'!$C$5:$C$16,MATCH(G391,'Shift Master'!$A$5:$A$16,0)),"")</f>
        <v>0.333333333333333</v>
      </c>
      <c r="I391" s="17" t="n">
        <f aca="false">IFERROR(INDEX('Shift Master'!$D$5:$D$16,MATCH(G391,'Shift Master'!$A$5:$A$16,0)),"")</f>
        <v>0.708333333333333</v>
      </c>
      <c r="J391" s="16" t="n">
        <f aca="false">IFERROR(INDEX('Shift Master'!$E$5:$E$16,MATCH(G391,'Shift Master'!$A$5:$A$16,0)),"")</f>
        <v>60</v>
      </c>
      <c r="K391" s="16" t="n">
        <f aca="false">IFERROR(INDEX('Shift Master'!$G$5:$G$16,MATCH(G391,'Shift Master'!$A$5:$A$16,0)),0)</f>
        <v>8</v>
      </c>
      <c r="L391" s="16" t="s">
        <v>228</v>
      </c>
      <c r="M391" s="16" t="s">
        <v>229</v>
      </c>
      <c r="N391" s="16" t="str">
        <f aca="false">IF(COUNTIFS('Staffing Coverage'!$A$5:$A$12,E391,'Staffing Coverage'!$B$5:$B$12,G391)=0,"",IF(COUNTIFS($A$5:$A$10004,A391,$E$5:$E$10004,E391,$G$5:$G$10004,G391)&lt;INDEX('Staffing Coverage'!$C$5:$C$12,MATCH(1,('Staffing Coverage'!$A$5:$A$12=E391)*('Staffing Coverage'!$B$5:$B$12=G391),0)),"SHORT","OK"))</f>
        <v>OK</v>
      </c>
    </row>
    <row r="392" customFormat="false" ht="15" hidden="false" customHeight="false" outlineLevel="0" collapsed="false">
      <c r="A392" s="15" t="n">
        <v>46315</v>
      </c>
      <c r="B392" s="16" t="str">
        <f aca="false">TEXT(A392,"ddd")</f>
        <v>Tue</v>
      </c>
      <c r="C392" s="10" t="s">
        <v>165</v>
      </c>
      <c r="D392" s="16" t="str">
        <f aca="false">IFERROR(INDEX('Staff Master'!$B$5:$B$24,MATCH(C392,'Staff Master'!$A$5:$A$24,0)),"")</f>
        <v>Priya Nair</v>
      </c>
      <c r="E392" s="16" t="str">
        <f aca="false">IFERROR(INDEX('Staff Master'!$D$5:$D$24,MATCH(C392,'Staff Master'!$A$5:$A$24,0)),"")</f>
        <v>Nursing</v>
      </c>
      <c r="F392" s="16" t="str">
        <f aca="false">IFERROR(INDEX('Staff Master'!$E$5:$E$24,MATCH(C392,'Staff Master'!$A$5:$A$24,0)),"")</f>
        <v>Nurse</v>
      </c>
      <c r="G392" s="10" t="s">
        <v>90</v>
      </c>
      <c r="H392" s="17" t="n">
        <f aca="false">IFERROR(INDEX('Shift Master'!$C$5:$C$16,MATCH(G392,'Shift Master'!$A$5:$A$16,0)),"")</f>
        <v>0.375</v>
      </c>
      <c r="I392" s="17" t="n">
        <f aca="false">IFERROR(INDEX('Shift Master'!$D$5:$D$16,MATCH(G392,'Shift Master'!$A$5:$A$16,0)),"")</f>
        <v>0.75</v>
      </c>
      <c r="J392" s="16" t="n">
        <f aca="false">IFERROR(INDEX('Shift Master'!$E$5:$E$16,MATCH(G392,'Shift Master'!$A$5:$A$16,0)),"")</f>
        <v>60</v>
      </c>
      <c r="K392" s="16" t="n">
        <f aca="false">IFERROR(INDEX('Shift Master'!$G$5:$G$16,MATCH(G392,'Shift Master'!$A$5:$A$16,0)),0)</f>
        <v>8</v>
      </c>
      <c r="L392" s="16" t="s">
        <v>228</v>
      </c>
      <c r="M392" s="16" t="s">
        <v>229</v>
      </c>
      <c r="N392" s="16" t="str">
        <f aca="false">IF(COUNTIFS('Staffing Coverage'!$A$5:$A$12,E392,'Staffing Coverage'!$B$5:$B$12,G392)=0,"",IF(COUNTIFS($A$5:$A$10004,A392,$E$5:$E$10004,E392,$G$5:$G$10004,G392)&lt;INDEX('Staffing Coverage'!$C$5:$C$12,MATCH(1,('Staffing Coverage'!$A$5:$A$12=E392)*('Staffing Coverage'!$B$5:$B$12=G392),0)),"SHORT","OK"))</f>
        <v>OK</v>
      </c>
    </row>
    <row r="393" customFormat="false" ht="15" hidden="false" customHeight="false" outlineLevel="0" collapsed="false">
      <c r="A393" s="15" t="n">
        <v>46315</v>
      </c>
      <c r="B393" s="16" t="str">
        <f aca="false">TEXT(A393,"ddd")</f>
        <v>Tue</v>
      </c>
      <c r="C393" s="10" t="s">
        <v>170</v>
      </c>
      <c r="D393" s="16" t="str">
        <f aca="false">IFERROR(INDEX('Staff Master'!$B$5:$B$24,MATCH(C393,'Staff Master'!$A$5:$A$24,0)),"")</f>
        <v>Maria Santos</v>
      </c>
      <c r="E393" s="16" t="str">
        <f aca="false">IFERROR(INDEX('Staff Master'!$D$5:$D$24,MATCH(C393,'Staff Master'!$A$5:$A$24,0)),"")</f>
        <v>Nursing</v>
      </c>
      <c r="F393" s="16" t="str">
        <f aca="false">IFERROR(INDEX('Staff Master'!$E$5:$E$24,MATCH(C393,'Staff Master'!$A$5:$A$24,0)),"")</f>
        <v>Nurse</v>
      </c>
      <c r="G393" s="10" t="s">
        <v>94</v>
      </c>
      <c r="H393" s="17" t="n">
        <f aca="false">IFERROR(INDEX('Shift Master'!$C$5:$C$16,MATCH(G393,'Shift Master'!$A$5:$A$16,0)),"")</f>
        <v>0.541666666666667</v>
      </c>
      <c r="I393" s="17" t="n">
        <f aca="false">IFERROR(INDEX('Shift Master'!$D$5:$D$16,MATCH(G393,'Shift Master'!$A$5:$A$16,0)),"")</f>
        <v>0.916666666666667</v>
      </c>
      <c r="J393" s="16" t="n">
        <f aca="false">IFERROR(INDEX('Shift Master'!$E$5:$E$16,MATCH(G393,'Shift Master'!$A$5:$A$16,0)),"")</f>
        <v>60</v>
      </c>
      <c r="K393" s="16" t="n">
        <f aca="false">IFERROR(INDEX('Shift Master'!$G$5:$G$16,MATCH(G393,'Shift Master'!$A$5:$A$16,0)),0)</f>
        <v>8</v>
      </c>
      <c r="L393" s="16" t="s">
        <v>228</v>
      </c>
      <c r="M393" s="16" t="s">
        <v>229</v>
      </c>
      <c r="N393" s="16" t="str">
        <f aca="false">IF(COUNTIFS('Staffing Coverage'!$A$5:$A$12,E393,'Staffing Coverage'!$B$5:$B$12,G393)=0,"",IF(COUNTIFS($A$5:$A$10004,A393,$E$5:$E$10004,E393,$G$5:$G$10004,G393)&lt;INDEX('Staffing Coverage'!$C$5:$C$12,MATCH(1,('Staffing Coverage'!$A$5:$A$12=E393)*('Staffing Coverage'!$B$5:$B$12=G393),0)),"SHORT","OK"))</f>
        <v/>
      </c>
    </row>
    <row r="394" customFormat="false" ht="15" hidden="false" customHeight="false" outlineLevel="0" collapsed="false">
      <c r="A394" s="15" t="n">
        <v>46315</v>
      </c>
      <c r="B394" s="16" t="str">
        <f aca="false">TEXT(A394,"ddd")</f>
        <v>Tue</v>
      </c>
      <c r="C394" s="10" t="s">
        <v>174</v>
      </c>
      <c r="D394" s="16" t="str">
        <f aca="false">IFERROR(INDEX('Staff Master'!$B$5:$B$24,MATCH(C394,'Staff Master'!$A$5:$A$24,0)),"")</f>
        <v>Aisha Al Shamsi</v>
      </c>
      <c r="E394" s="16" t="str">
        <f aca="false">IFERROR(INDEX('Staff Master'!$D$5:$D$24,MATCH(C394,'Staff Master'!$A$5:$A$24,0)),"")</f>
        <v>Reception</v>
      </c>
      <c r="F394" s="16" t="str">
        <f aca="false">IFERROR(INDEX('Staff Master'!$E$5:$E$24,MATCH(C394,'Staff Master'!$A$5:$A$24,0)),"")</f>
        <v>Receptionist</v>
      </c>
      <c r="G394" s="10" t="s">
        <v>87</v>
      </c>
      <c r="H394" s="17" t="n">
        <f aca="false">IFERROR(INDEX('Shift Master'!$C$5:$C$16,MATCH(G394,'Shift Master'!$A$5:$A$16,0)),"")</f>
        <v>0.333333333333333</v>
      </c>
      <c r="I394" s="17" t="n">
        <f aca="false">IFERROR(INDEX('Shift Master'!$D$5:$D$16,MATCH(G394,'Shift Master'!$A$5:$A$16,0)),"")</f>
        <v>0.708333333333333</v>
      </c>
      <c r="J394" s="16" t="n">
        <f aca="false">IFERROR(INDEX('Shift Master'!$E$5:$E$16,MATCH(G394,'Shift Master'!$A$5:$A$16,0)),"")</f>
        <v>60</v>
      </c>
      <c r="K394" s="16" t="n">
        <f aca="false">IFERROR(INDEX('Shift Master'!$G$5:$G$16,MATCH(G394,'Shift Master'!$A$5:$A$16,0)),0)</f>
        <v>8</v>
      </c>
      <c r="L394" s="16" t="s">
        <v>228</v>
      </c>
      <c r="M394" s="16" t="s">
        <v>229</v>
      </c>
      <c r="N394" s="16" t="str">
        <f aca="false">IF(COUNTIFS('Staffing Coverage'!$A$5:$A$12,E394,'Staffing Coverage'!$B$5:$B$12,G394)=0,"",IF(COUNTIFS($A$5:$A$10004,A394,$E$5:$E$10004,E394,$G$5:$G$10004,G394)&lt;INDEX('Staffing Coverage'!$C$5:$C$12,MATCH(1,('Staffing Coverage'!$A$5:$A$12=E394)*('Staffing Coverage'!$B$5:$B$12=G394),0)),"SHORT","OK"))</f>
        <v>SHORT</v>
      </c>
    </row>
    <row r="395" customFormat="false" ht="15" hidden="false" customHeight="false" outlineLevel="0" collapsed="false">
      <c r="A395" s="15" t="n">
        <v>46315</v>
      </c>
      <c r="B395" s="16" t="str">
        <f aca="false">TEXT(A395,"ddd")</f>
        <v>Tue</v>
      </c>
      <c r="C395" s="10" t="s">
        <v>179</v>
      </c>
      <c r="D395" s="16" t="str">
        <f aca="false">IFERROR(INDEX('Staff Master'!$B$5:$B$24,MATCH(C395,'Staff Master'!$A$5:$A$24,0)),"")</f>
        <v>John Dsouza</v>
      </c>
      <c r="E395" s="16" t="str">
        <f aca="false">IFERROR(INDEX('Staff Master'!$D$5:$D$24,MATCH(C395,'Staff Master'!$A$5:$A$24,0)),"")</f>
        <v>Reception</v>
      </c>
      <c r="F395" s="16" t="str">
        <f aca="false">IFERROR(INDEX('Staff Master'!$E$5:$E$24,MATCH(C395,'Staff Master'!$A$5:$A$24,0)),"")</f>
        <v>Receptionist</v>
      </c>
      <c r="G395" s="10" t="s">
        <v>97</v>
      </c>
      <c r="H395" s="17" t="n">
        <f aca="false">IFERROR(INDEX('Shift Master'!$C$5:$C$16,MATCH(G395,'Shift Master'!$A$5:$A$16,0)),"")</f>
        <v>0</v>
      </c>
      <c r="I395" s="17" t="n">
        <f aca="false">IFERROR(INDEX('Shift Master'!$D$5:$D$16,MATCH(G395,'Shift Master'!$A$5:$A$16,0)),"")</f>
        <v>0</v>
      </c>
      <c r="J395" s="16" t="n">
        <f aca="false">IFERROR(INDEX('Shift Master'!$E$5:$E$16,MATCH(G395,'Shift Master'!$A$5:$A$16,0)),"")</f>
        <v>0</v>
      </c>
      <c r="K395" s="16" t="n">
        <f aca="false">IFERROR(INDEX('Shift Master'!$G$5:$G$16,MATCH(G395,'Shift Master'!$A$5:$A$16,0)),0)</f>
        <v>0</v>
      </c>
      <c r="L395" s="16" t="s">
        <v>228</v>
      </c>
      <c r="M395" s="16" t="s">
        <v>229</v>
      </c>
      <c r="N395" s="16" t="str">
        <f aca="false">IF(COUNTIFS('Staffing Coverage'!$A$5:$A$12,E395,'Staffing Coverage'!$B$5:$B$12,G395)=0,"",IF(COUNTIFS($A$5:$A$10004,A395,$E$5:$E$10004,E395,$G$5:$G$10004,G395)&lt;INDEX('Staffing Coverage'!$C$5:$C$12,MATCH(1,('Staffing Coverage'!$A$5:$A$12=E395)*('Staffing Coverage'!$B$5:$B$12=G395),0)),"SHORT","OK"))</f>
        <v/>
      </c>
    </row>
    <row r="396" customFormat="false" ht="15" hidden="false" customHeight="false" outlineLevel="0" collapsed="false">
      <c r="A396" s="15" t="n">
        <v>46315</v>
      </c>
      <c r="B396" s="16" t="str">
        <f aca="false">TEXT(A396,"ddd")</f>
        <v>Tue</v>
      </c>
      <c r="C396" s="10" t="s">
        <v>184</v>
      </c>
      <c r="D396" s="16" t="str">
        <f aca="false">IFERROR(INDEX('Staff Master'!$B$5:$B$24,MATCH(C396,'Staff Master'!$A$5:$A$24,0)),"")</f>
        <v>Fatima Zahra</v>
      </c>
      <c r="E396" s="16" t="str">
        <f aca="false">IFERROR(INDEX('Staff Master'!$D$5:$D$24,MATCH(C396,'Staff Master'!$A$5:$A$24,0)),"")</f>
        <v>Reception</v>
      </c>
      <c r="F396" s="16" t="str">
        <f aca="false">IFERROR(INDEX('Staff Master'!$E$5:$E$24,MATCH(C396,'Staff Master'!$A$5:$A$24,0)),"")</f>
        <v>Receptionist</v>
      </c>
      <c r="G396" s="10" t="s">
        <v>94</v>
      </c>
      <c r="H396" s="17" t="n">
        <f aca="false">IFERROR(INDEX('Shift Master'!$C$5:$C$16,MATCH(G396,'Shift Master'!$A$5:$A$16,0)),"")</f>
        <v>0.541666666666667</v>
      </c>
      <c r="I396" s="17" t="n">
        <f aca="false">IFERROR(INDEX('Shift Master'!$D$5:$D$16,MATCH(G396,'Shift Master'!$A$5:$A$16,0)),"")</f>
        <v>0.916666666666667</v>
      </c>
      <c r="J396" s="16" t="n">
        <f aca="false">IFERROR(INDEX('Shift Master'!$E$5:$E$16,MATCH(G396,'Shift Master'!$A$5:$A$16,0)),"")</f>
        <v>60</v>
      </c>
      <c r="K396" s="16" t="n">
        <f aca="false">IFERROR(INDEX('Shift Master'!$G$5:$G$16,MATCH(G396,'Shift Master'!$A$5:$A$16,0)),0)</f>
        <v>8</v>
      </c>
      <c r="L396" s="16" t="s">
        <v>228</v>
      </c>
      <c r="M396" s="16" t="s">
        <v>229</v>
      </c>
      <c r="N396" s="16" t="str">
        <f aca="false">IF(COUNTIFS('Staffing Coverage'!$A$5:$A$12,E396,'Staffing Coverage'!$B$5:$B$12,G396)=0,"",IF(COUNTIFS($A$5:$A$10004,A396,$E$5:$E$10004,E396,$G$5:$G$10004,G396)&lt;INDEX('Staffing Coverage'!$C$5:$C$12,MATCH(1,('Staffing Coverage'!$A$5:$A$12=E396)*('Staffing Coverage'!$B$5:$B$12=G396),0)),"SHORT","OK"))</f>
        <v>OK</v>
      </c>
    </row>
    <row r="397" customFormat="false" ht="15" hidden="false" customHeight="false" outlineLevel="0" collapsed="false">
      <c r="A397" s="15" t="n">
        <v>46315</v>
      </c>
      <c r="B397" s="16" t="str">
        <f aca="false">TEXT(A397,"ddd")</f>
        <v>Tue</v>
      </c>
      <c r="C397" s="10" t="s">
        <v>188</v>
      </c>
      <c r="D397" s="16" t="str">
        <f aca="false">IFERROR(INDEX('Staff Master'!$B$5:$B$24,MATCH(C397,'Staff Master'!$A$5:$A$24,0)),"")</f>
        <v>Ana Reyes</v>
      </c>
      <c r="E397" s="16" t="str">
        <f aca="false">IFERROR(INDEX('Staff Master'!$D$5:$D$24,MATCH(C397,'Staff Master'!$A$5:$A$24,0)),"")</f>
        <v>Dental</v>
      </c>
      <c r="F397" s="16" t="str">
        <f aca="false">IFERROR(INDEX('Staff Master'!$E$5:$E$24,MATCH(C397,'Staff Master'!$A$5:$A$24,0)),"")</f>
        <v>Dental Assistant</v>
      </c>
      <c r="G397" s="10" t="s">
        <v>87</v>
      </c>
      <c r="H397" s="17" t="n">
        <f aca="false">IFERROR(INDEX('Shift Master'!$C$5:$C$16,MATCH(G397,'Shift Master'!$A$5:$A$16,0)),"")</f>
        <v>0.333333333333333</v>
      </c>
      <c r="I397" s="17" t="n">
        <f aca="false">IFERROR(INDEX('Shift Master'!$D$5:$D$16,MATCH(G397,'Shift Master'!$A$5:$A$16,0)),"")</f>
        <v>0.708333333333333</v>
      </c>
      <c r="J397" s="16" t="n">
        <f aca="false">IFERROR(INDEX('Shift Master'!$E$5:$E$16,MATCH(G397,'Shift Master'!$A$5:$A$16,0)),"")</f>
        <v>60</v>
      </c>
      <c r="K397" s="16" t="n">
        <f aca="false">IFERROR(INDEX('Shift Master'!$G$5:$G$16,MATCH(G397,'Shift Master'!$A$5:$A$16,0)),0)</f>
        <v>8</v>
      </c>
      <c r="L397" s="16" t="s">
        <v>228</v>
      </c>
      <c r="M397" s="16" t="s">
        <v>229</v>
      </c>
      <c r="N397" s="16" t="str">
        <f aca="false">IF(COUNTIFS('Staffing Coverage'!$A$5:$A$12,E397,'Staffing Coverage'!$B$5:$B$12,G397)=0,"",IF(COUNTIFS($A$5:$A$10004,A397,$E$5:$E$10004,E397,$G$5:$G$10004,G397)&lt;INDEX('Staffing Coverage'!$C$5:$C$12,MATCH(1,('Staffing Coverage'!$A$5:$A$12=E397)*('Staffing Coverage'!$B$5:$B$12=G397),0)),"SHORT","OK"))</f>
        <v>OK</v>
      </c>
    </row>
    <row r="398" customFormat="false" ht="15" hidden="false" customHeight="false" outlineLevel="0" collapsed="false">
      <c r="A398" s="15" t="n">
        <v>46315</v>
      </c>
      <c r="B398" s="16" t="str">
        <f aca="false">TEXT(A398,"ddd")</f>
        <v>Tue</v>
      </c>
      <c r="C398" s="10" t="s">
        <v>192</v>
      </c>
      <c r="D398" s="16" t="str">
        <f aca="false">IFERROR(INDEX('Staff Master'!$B$5:$B$24,MATCH(C398,'Staff Master'!$A$5:$A$24,0)),"")</f>
        <v>Noor Hassan</v>
      </c>
      <c r="E398" s="16" t="str">
        <f aca="false">IFERROR(INDEX('Staff Master'!$D$5:$D$24,MATCH(C398,'Staff Master'!$A$5:$A$24,0)),"")</f>
        <v>Dental</v>
      </c>
      <c r="F398" s="16" t="str">
        <f aca="false">IFERROR(INDEX('Staff Master'!$E$5:$E$24,MATCH(C398,'Staff Master'!$A$5:$A$24,0)),"")</f>
        <v>Dental Assistant</v>
      </c>
      <c r="G398" s="10" t="s">
        <v>90</v>
      </c>
      <c r="H398" s="17" t="n">
        <f aca="false">IFERROR(INDEX('Shift Master'!$C$5:$C$16,MATCH(G398,'Shift Master'!$A$5:$A$16,0)),"")</f>
        <v>0.375</v>
      </c>
      <c r="I398" s="17" t="n">
        <f aca="false">IFERROR(INDEX('Shift Master'!$D$5:$D$16,MATCH(G398,'Shift Master'!$A$5:$A$16,0)),"")</f>
        <v>0.75</v>
      </c>
      <c r="J398" s="16" t="n">
        <f aca="false">IFERROR(INDEX('Shift Master'!$E$5:$E$16,MATCH(G398,'Shift Master'!$A$5:$A$16,0)),"")</f>
        <v>60</v>
      </c>
      <c r="K398" s="16" t="n">
        <f aca="false">IFERROR(INDEX('Shift Master'!$G$5:$G$16,MATCH(G398,'Shift Master'!$A$5:$A$16,0)),0)</f>
        <v>8</v>
      </c>
      <c r="L398" s="16" t="s">
        <v>228</v>
      </c>
      <c r="M398" s="16" t="s">
        <v>229</v>
      </c>
      <c r="N398" s="16" t="str">
        <f aca="false">IF(COUNTIFS('Staffing Coverage'!$A$5:$A$12,E398,'Staffing Coverage'!$B$5:$B$12,G398)=0,"",IF(COUNTIFS($A$5:$A$10004,A398,$E$5:$E$10004,E398,$G$5:$G$10004,G398)&lt;INDEX('Staffing Coverage'!$C$5:$C$12,MATCH(1,('Staffing Coverage'!$A$5:$A$12=E398)*('Staffing Coverage'!$B$5:$B$12=G398),0)),"SHORT","OK"))</f>
        <v/>
      </c>
    </row>
    <row r="399" customFormat="false" ht="15" hidden="false" customHeight="false" outlineLevel="0" collapsed="false">
      <c r="A399" s="15" t="n">
        <v>46315</v>
      </c>
      <c r="B399" s="16" t="str">
        <f aca="false">TEXT(A399,"ddd")</f>
        <v>Tue</v>
      </c>
      <c r="C399" s="10" t="s">
        <v>196</v>
      </c>
      <c r="D399" s="16" t="str">
        <f aca="false">IFERROR(INDEX('Staff Master'!$B$5:$B$24,MATCH(C399,'Staff Master'!$A$5:$A$24,0)),"")</f>
        <v>Karan Mehta</v>
      </c>
      <c r="E399" s="16" t="str">
        <f aca="false">IFERROR(INDEX('Staff Master'!$D$5:$D$24,MATCH(C399,'Staff Master'!$A$5:$A$24,0)),"")</f>
        <v>Laser</v>
      </c>
      <c r="F399" s="16" t="str">
        <f aca="false">IFERROR(INDEX('Staff Master'!$E$5:$E$24,MATCH(C399,'Staff Master'!$A$5:$A$24,0)),"")</f>
        <v>Laser Technician</v>
      </c>
      <c r="G399" s="10" t="s">
        <v>90</v>
      </c>
      <c r="H399" s="17" t="n">
        <f aca="false">IFERROR(INDEX('Shift Master'!$C$5:$C$16,MATCH(G399,'Shift Master'!$A$5:$A$16,0)),"")</f>
        <v>0.375</v>
      </c>
      <c r="I399" s="17" t="n">
        <f aca="false">IFERROR(INDEX('Shift Master'!$D$5:$D$16,MATCH(G399,'Shift Master'!$A$5:$A$16,0)),"")</f>
        <v>0.75</v>
      </c>
      <c r="J399" s="16" t="n">
        <f aca="false">IFERROR(INDEX('Shift Master'!$E$5:$E$16,MATCH(G399,'Shift Master'!$A$5:$A$16,0)),"")</f>
        <v>60</v>
      </c>
      <c r="K399" s="16" t="n">
        <f aca="false">IFERROR(INDEX('Shift Master'!$G$5:$G$16,MATCH(G399,'Shift Master'!$A$5:$A$16,0)),0)</f>
        <v>8</v>
      </c>
      <c r="L399" s="16" t="s">
        <v>228</v>
      </c>
      <c r="M399" s="16" t="s">
        <v>229</v>
      </c>
      <c r="N399" s="16" t="str">
        <f aca="false">IF(COUNTIFS('Staffing Coverage'!$A$5:$A$12,E399,'Staffing Coverage'!$B$5:$B$12,G399)=0,"",IF(COUNTIFS($A$5:$A$10004,A399,$E$5:$E$10004,E399,$G$5:$G$10004,G399)&lt;INDEX('Staffing Coverage'!$C$5:$C$12,MATCH(1,('Staffing Coverage'!$A$5:$A$12=E399)*('Staffing Coverage'!$B$5:$B$12=G399),0)),"SHORT","OK"))</f>
        <v/>
      </c>
    </row>
    <row r="400" customFormat="false" ht="15" hidden="false" customHeight="false" outlineLevel="0" collapsed="false">
      <c r="A400" s="15" t="n">
        <v>46315</v>
      </c>
      <c r="B400" s="16" t="str">
        <f aca="false">TEXT(A400,"ddd")</f>
        <v>Tue</v>
      </c>
      <c r="C400" s="10" t="s">
        <v>200</v>
      </c>
      <c r="D400" s="16" t="str">
        <f aca="false">IFERROR(INDEX('Staff Master'!$B$5:$B$24,MATCH(C400,'Staff Master'!$A$5:$A$24,0)),"")</f>
        <v>Imran Sheikh</v>
      </c>
      <c r="E400" s="16" t="str">
        <f aca="false">IFERROR(INDEX('Staff Master'!$D$5:$D$24,MATCH(C400,'Staff Master'!$A$5:$A$24,0)),"")</f>
        <v>Dental Laboratory</v>
      </c>
      <c r="F400" s="16" t="str">
        <f aca="false">IFERROR(INDEX('Staff Master'!$E$5:$E$24,MATCH(C400,'Staff Master'!$A$5:$A$24,0)),"")</f>
        <v>Dental Technician</v>
      </c>
      <c r="G400" s="10" t="s">
        <v>87</v>
      </c>
      <c r="H400" s="17" t="n">
        <f aca="false">IFERROR(INDEX('Shift Master'!$C$5:$C$16,MATCH(G400,'Shift Master'!$A$5:$A$16,0)),"")</f>
        <v>0.333333333333333</v>
      </c>
      <c r="I400" s="17" t="n">
        <f aca="false">IFERROR(INDEX('Shift Master'!$D$5:$D$16,MATCH(G400,'Shift Master'!$A$5:$A$16,0)),"")</f>
        <v>0.708333333333333</v>
      </c>
      <c r="J400" s="16" t="n">
        <f aca="false">IFERROR(INDEX('Shift Master'!$E$5:$E$16,MATCH(G400,'Shift Master'!$A$5:$A$16,0)),"")</f>
        <v>60</v>
      </c>
      <c r="K400" s="16" t="n">
        <f aca="false">IFERROR(INDEX('Shift Master'!$G$5:$G$16,MATCH(G400,'Shift Master'!$A$5:$A$16,0)),0)</f>
        <v>8</v>
      </c>
      <c r="L400" s="16" t="s">
        <v>228</v>
      </c>
      <c r="M400" s="16" t="s">
        <v>229</v>
      </c>
      <c r="N400" s="16" t="str">
        <f aca="false">IF(COUNTIFS('Staffing Coverage'!$A$5:$A$12,E400,'Staffing Coverage'!$B$5:$B$12,G400)=0,"",IF(COUNTIFS($A$5:$A$10004,A400,$E$5:$E$10004,E400,$G$5:$G$10004,G400)&lt;INDEX('Staffing Coverage'!$C$5:$C$12,MATCH(1,('Staffing Coverage'!$A$5:$A$12=E400)*('Staffing Coverage'!$B$5:$B$12=G400),0)),"SHORT","OK"))</f>
        <v/>
      </c>
    </row>
    <row r="401" customFormat="false" ht="15" hidden="false" customHeight="false" outlineLevel="0" collapsed="false">
      <c r="A401" s="15" t="n">
        <v>46315</v>
      </c>
      <c r="B401" s="16" t="str">
        <f aca="false">TEXT(A401,"ddd")</f>
        <v>Tue</v>
      </c>
      <c r="C401" s="10" t="s">
        <v>204</v>
      </c>
      <c r="D401" s="16" t="str">
        <f aca="false">IFERROR(INDEX('Staff Master'!$B$5:$B$24,MATCH(C401,'Staff Master'!$A$5:$A$24,0)),"")</f>
        <v>Josephine Cruz</v>
      </c>
      <c r="E401" s="16" t="str">
        <f aca="false">IFERROR(INDEX('Staff Master'!$D$5:$D$24,MATCH(C401,'Staff Master'!$A$5:$A$24,0)),"")</f>
        <v>CSSD</v>
      </c>
      <c r="F401" s="16" t="str">
        <f aca="false">IFERROR(INDEX('Staff Master'!$E$5:$E$24,MATCH(C401,'Staff Master'!$A$5:$A$24,0)),"")</f>
        <v>CSSD Technician</v>
      </c>
      <c r="G401" s="10" t="s">
        <v>87</v>
      </c>
      <c r="H401" s="17" t="n">
        <f aca="false">IFERROR(INDEX('Shift Master'!$C$5:$C$16,MATCH(G401,'Shift Master'!$A$5:$A$16,0)),"")</f>
        <v>0.333333333333333</v>
      </c>
      <c r="I401" s="17" t="n">
        <f aca="false">IFERROR(INDEX('Shift Master'!$D$5:$D$16,MATCH(G401,'Shift Master'!$A$5:$A$16,0)),"")</f>
        <v>0.708333333333333</v>
      </c>
      <c r="J401" s="16" t="n">
        <f aca="false">IFERROR(INDEX('Shift Master'!$E$5:$E$16,MATCH(G401,'Shift Master'!$A$5:$A$16,0)),"")</f>
        <v>60</v>
      </c>
      <c r="K401" s="16" t="n">
        <f aca="false">IFERROR(INDEX('Shift Master'!$G$5:$G$16,MATCH(G401,'Shift Master'!$A$5:$A$16,0)),0)</f>
        <v>8</v>
      </c>
      <c r="L401" s="16" t="s">
        <v>228</v>
      </c>
      <c r="M401" s="16" t="s">
        <v>229</v>
      </c>
      <c r="N401" s="16" t="str">
        <f aca="false">IF(COUNTIFS('Staffing Coverage'!$A$5:$A$12,E401,'Staffing Coverage'!$B$5:$B$12,G401)=0,"",IF(COUNTIFS($A$5:$A$10004,A401,$E$5:$E$10004,E401,$G$5:$G$10004,G401)&lt;INDEX('Staffing Coverage'!$C$5:$C$12,MATCH(1,('Staffing Coverage'!$A$5:$A$12=E401)*('Staffing Coverage'!$B$5:$B$12=G401),0)),"SHORT","OK"))</f>
        <v>OK</v>
      </c>
    </row>
    <row r="402" customFormat="false" ht="15" hidden="false" customHeight="false" outlineLevel="0" collapsed="false">
      <c r="A402" s="15" t="n">
        <v>46315</v>
      </c>
      <c r="B402" s="16" t="str">
        <f aca="false">TEXT(A402,"ddd")</f>
        <v>Tue</v>
      </c>
      <c r="C402" s="10" t="s">
        <v>208</v>
      </c>
      <c r="D402" s="16" t="str">
        <f aca="false">IFERROR(INDEX('Staff Master'!$B$5:$B$24,MATCH(C402,'Staff Master'!$A$5:$A$24,0)),"")</f>
        <v>Rosalyn Tan</v>
      </c>
      <c r="E402" s="16" t="str">
        <f aca="false">IFERROR(INDEX('Staff Master'!$D$5:$D$24,MATCH(C402,'Staff Master'!$A$5:$A$24,0)),"")</f>
        <v>Cleaning</v>
      </c>
      <c r="F402" s="16" t="str">
        <f aca="false">IFERROR(INDEX('Staff Master'!$E$5:$E$24,MATCH(C402,'Staff Master'!$A$5:$A$24,0)),"")</f>
        <v>Cleaner</v>
      </c>
      <c r="G402" s="10" t="s">
        <v>87</v>
      </c>
      <c r="H402" s="17" t="n">
        <f aca="false">IFERROR(INDEX('Shift Master'!$C$5:$C$16,MATCH(G402,'Shift Master'!$A$5:$A$16,0)),"")</f>
        <v>0.333333333333333</v>
      </c>
      <c r="I402" s="17" t="n">
        <f aca="false">IFERROR(INDEX('Shift Master'!$D$5:$D$16,MATCH(G402,'Shift Master'!$A$5:$A$16,0)),"")</f>
        <v>0.708333333333333</v>
      </c>
      <c r="J402" s="16" t="n">
        <f aca="false">IFERROR(INDEX('Shift Master'!$E$5:$E$16,MATCH(G402,'Shift Master'!$A$5:$A$16,0)),"")</f>
        <v>60</v>
      </c>
      <c r="K402" s="16" t="n">
        <f aca="false">IFERROR(INDEX('Shift Master'!$G$5:$G$16,MATCH(G402,'Shift Master'!$A$5:$A$16,0)),0)</f>
        <v>8</v>
      </c>
      <c r="L402" s="16" t="s">
        <v>228</v>
      </c>
      <c r="M402" s="16" t="s">
        <v>229</v>
      </c>
      <c r="N402" s="16" t="str">
        <f aca="false">IF(COUNTIFS('Staffing Coverage'!$A$5:$A$12,E402,'Staffing Coverage'!$B$5:$B$12,G402)=0,"",IF(COUNTIFS($A$5:$A$10004,A402,$E$5:$E$10004,E402,$G$5:$G$10004,G402)&lt;INDEX('Staffing Coverage'!$C$5:$C$12,MATCH(1,('Staffing Coverage'!$A$5:$A$12=E402)*('Staffing Coverage'!$B$5:$B$12=G402),0)),"SHORT","OK"))</f>
        <v>OK</v>
      </c>
    </row>
    <row r="403" customFormat="false" ht="15" hidden="false" customHeight="false" outlineLevel="0" collapsed="false">
      <c r="A403" s="15" t="n">
        <v>46315</v>
      </c>
      <c r="B403" s="16" t="str">
        <f aca="false">TEXT(A403,"ddd")</f>
        <v>Tue</v>
      </c>
      <c r="C403" s="10" t="s">
        <v>212</v>
      </c>
      <c r="D403" s="16" t="str">
        <f aca="false">IFERROR(INDEX('Staff Master'!$B$5:$B$24,MATCH(C403,'Staff Master'!$A$5:$A$24,0)),"")</f>
        <v>Hassan Baig</v>
      </c>
      <c r="E403" s="16" t="str">
        <f aca="false">IFERROR(INDEX('Staff Master'!$D$5:$D$24,MATCH(C403,'Staff Master'!$A$5:$A$24,0)),"")</f>
        <v>Facilities</v>
      </c>
      <c r="F403" s="16" t="str">
        <f aca="false">IFERROR(INDEX('Staff Master'!$E$5:$E$24,MATCH(C403,'Staff Master'!$A$5:$A$24,0)),"")</f>
        <v>Facility Manager</v>
      </c>
      <c r="G403" s="10" t="s">
        <v>90</v>
      </c>
      <c r="H403" s="17" t="n">
        <f aca="false">IFERROR(INDEX('Shift Master'!$C$5:$C$16,MATCH(G403,'Shift Master'!$A$5:$A$16,0)),"")</f>
        <v>0.375</v>
      </c>
      <c r="I403" s="17" t="n">
        <f aca="false">IFERROR(INDEX('Shift Master'!$D$5:$D$16,MATCH(G403,'Shift Master'!$A$5:$A$16,0)),"")</f>
        <v>0.75</v>
      </c>
      <c r="J403" s="16" t="n">
        <f aca="false">IFERROR(INDEX('Shift Master'!$E$5:$E$16,MATCH(G403,'Shift Master'!$A$5:$A$16,0)),"")</f>
        <v>60</v>
      </c>
      <c r="K403" s="16" t="n">
        <f aca="false">IFERROR(INDEX('Shift Master'!$G$5:$G$16,MATCH(G403,'Shift Master'!$A$5:$A$16,0)),0)</f>
        <v>8</v>
      </c>
      <c r="L403" s="16" t="s">
        <v>228</v>
      </c>
      <c r="M403" s="16" t="s">
        <v>229</v>
      </c>
      <c r="N403" s="16" t="str">
        <f aca="false">IF(COUNTIFS('Staffing Coverage'!$A$5:$A$12,E403,'Staffing Coverage'!$B$5:$B$12,G403)=0,"",IF(COUNTIFS($A$5:$A$10004,A403,$E$5:$E$10004,E403,$G$5:$G$10004,G403)&lt;INDEX('Staffing Coverage'!$C$5:$C$12,MATCH(1,('Staffing Coverage'!$A$5:$A$12=E403)*('Staffing Coverage'!$B$5:$B$12=G403),0)),"SHORT","OK"))</f>
        <v/>
      </c>
    </row>
    <row r="404" customFormat="false" ht="15" hidden="false" customHeight="false" outlineLevel="0" collapsed="false">
      <c r="A404" s="15" t="n">
        <v>46315</v>
      </c>
      <c r="B404" s="16" t="str">
        <f aca="false">TEXT(A404,"ddd")</f>
        <v>Tue</v>
      </c>
      <c r="C404" s="10" t="s">
        <v>178</v>
      </c>
      <c r="D404" s="16" t="str">
        <f aca="false">IFERROR(INDEX('Staff Master'!$B$5:$B$24,MATCH(C404,'Staff Master'!$A$5:$A$24,0)),"")</f>
        <v>Meera Pillai</v>
      </c>
      <c r="E404" s="16" t="str">
        <f aca="false">IFERROR(INDEX('Staff Master'!$D$5:$D$24,MATCH(C404,'Staff Master'!$A$5:$A$24,0)),"")</f>
        <v>HR</v>
      </c>
      <c r="F404" s="16" t="str">
        <f aca="false">IFERROR(INDEX('Staff Master'!$E$5:$E$24,MATCH(C404,'Staff Master'!$A$5:$A$24,0)),"")</f>
        <v>HR Executive</v>
      </c>
      <c r="G404" s="10" t="s">
        <v>90</v>
      </c>
      <c r="H404" s="17" t="n">
        <f aca="false">IFERROR(INDEX('Shift Master'!$C$5:$C$16,MATCH(G404,'Shift Master'!$A$5:$A$16,0)),"")</f>
        <v>0.375</v>
      </c>
      <c r="I404" s="17" t="n">
        <f aca="false">IFERROR(INDEX('Shift Master'!$D$5:$D$16,MATCH(G404,'Shift Master'!$A$5:$A$16,0)),"")</f>
        <v>0.75</v>
      </c>
      <c r="J404" s="16" t="n">
        <f aca="false">IFERROR(INDEX('Shift Master'!$E$5:$E$16,MATCH(G404,'Shift Master'!$A$5:$A$16,0)),"")</f>
        <v>60</v>
      </c>
      <c r="K404" s="16" t="n">
        <f aca="false">IFERROR(INDEX('Shift Master'!$G$5:$G$16,MATCH(G404,'Shift Master'!$A$5:$A$16,0)),0)</f>
        <v>8</v>
      </c>
      <c r="L404" s="16" t="s">
        <v>228</v>
      </c>
      <c r="M404" s="16" t="s">
        <v>229</v>
      </c>
      <c r="N404" s="16" t="str">
        <f aca="false">IF(COUNTIFS('Staffing Coverage'!$A$5:$A$12,E404,'Staffing Coverage'!$B$5:$B$12,G404)=0,"",IF(COUNTIFS($A$5:$A$10004,A404,$E$5:$E$10004,E404,$G$5:$G$10004,G404)&lt;INDEX('Staffing Coverage'!$C$5:$C$12,MATCH(1,('Staffing Coverage'!$A$5:$A$12=E404)*('Staffing Coverage'!$B$5:$B$12=G404),0)),"SHORT","OK"))</f>
        <v/>
      </c>
    </row>
    <row r="405" customFormat="false" ht="15" hidden="false" customHeight="false" outlineLevel="0" collapsed="false">
      <c r="A405" s="15" t="n">
        <v>46316</v>
      </c>
      <c r="B405" s="16" t="str">
        <f aca="false">TEXT(A405,"ddd")</f>
        <v>Wed</v>
      </c>
      <c r="C405" s="10" t="s">
        <v>128</v>
      </c>
      <c r="D405" s="16" t="str">
        <f aca="false">IFERROR(INDEX('Staff Master'!$B$5:$B$24,MATCH(C405,'Staff Master'!$A$5:$A$24,0)),"")</f>
        <v>Rashid Al Nuaimi</v>
      </c>
      <c r="E405" s="16" t="str">
        <f aca="false">IFERROR(INDEX('Staff Master'!$D$5:$D$24,MATCH(C405,'Staff Master'!$A$5:$A$24,0)),"")</f>
        <v>Management</v>
      </c>
      <c r="F405" s="16" t="str">
        <f aca="false">IFERROR(INDEX('Staff Master'!$E$5:$E$24,MATCH(C405,'Staff Master'!$A$5:$A$24,0)),"")</f>
        <v>CEO</v>
      </c>
      <c r="G405" s="10" t="s">
        <v>90</v>
      </c>
      <c r="H405" s="17" t="n">
        <f aca="false">IFERROR(INDEX('Shift Master'!$C$5:$C$16,MATCH(G405,'Shift Master'!$A$5:$A$16,0)),"")</f>
        <v>0.375</v>
      </c>
      <c r="I405" s="17" t="n">
        <f aca="false">IFERROR(INDEX('Shift Master'!$D$5:$D$16,MATCH(G405,'Shift Master'!$A$5:$A$16,0)),"")</f>
        <v>0.75</v>
      </c>
      <c r="J405" s="16" t="n">
        <f aca="false">IFERROR(INDEX('Shift Master'!$E$5:$E$16,MATCH(G405,'Shift Master'!$A$5:$A$16,0)),"")</f>
        <v>60</v>
      </c>
      <c r="K405" s="16" t="n">
        <f aca="false">IFERROR(INDEX('Shift Master'!$G$5:$G$16,MATCH(G405,'Shift Master'!$A$5:$A$16,0)),0)</f>
        <v>8</v>
      </c>
      <c r="L405" s="16" t="s">
        <v>228</v>
      </c>
      <c r="M405" s="16" t="s">
        <v>229</v>
      </c>
      <c r="N405" s="16" t="str">
        <f aca="false">IF(COUNTIFS('Staffing Coverage'!$A$5:$A$12,E405,'Staffing Coverage'!$B$5:$B$12,G405)=0,"",IF(COUNTIFS($A$5:$A$10004,A405,$E$5:$E$10004,E405,$G$5:$G$10004,G405)&lt;INDEX('Staffing Coverage'!$C$5:$C$12,MATCH(1,('Staffing Coverage'!$A$5:$A$12=E405)*('Staffing Coverage'!$B$5:$B$12=G405),0)),"SHORT","OK"))</f>
        <v/>
      </c>
    </row>
    <row r="406" customFormat="false" ht="15" hidden="false" customHeight="false" outlineLevel="0" collapsed="false">
      <c r="A406" s="15" t="n">
        <v>46316</v>
      </c>
      <c r="B406" s="16" t="str">
        <f aca="false">TEXT(A406,"ddd")</f>
        <v>Wed</v>
      </c>
      <c r="C406" s="10" t="s">
        <v>137</v>
      </c>
      <c r="D406" s="16" t="str">
        <f aca="false">IFERROR(INDEX('Staff Master'!$B$5:$B$24,MATCH(C406,'Staff Master'!$A$5:$A$24,0)),"")</f>
        <v>Dr. Sara Haddad</v>
      </c>
      <c r="E406" s="16" t="str">
        <f aca="false">IFERROR(INDEX('Staff Master'!$D$5:$D$24,MATCH(C406,'Staff Master'!$A$5:$A$24,0)),"")</f>
        <v>General Practice</v>
      </c>
      <c r="F406" s="16" t="str">
        <f aca="false">IFERROR(INDEX('Staff Master'!$E$5:$E$24,MATCH(C406,'Staff Master'!$A$5:$A$24,0)),"")</f>
        <v>Medical Director</v>
      </c>
      <c r="G406" s="10" t="s">
        <v>96</v>
      </c>
      <c r="H406" s="17" t="n">
        <f aca="false">IFERROR(INDEX('Shift Master'!$C$5:$C$16,MATCH(G406,'Shift Master'!$A$5:$A$16,0)),"")</f>
        <v>0.375</v>
      </c>
      <c r="I406" s="17" t="n">
        <f aca="false">IFERROR(INDEX('Shift Master'!$D$5:$D$16,MATCH(G406,'Shift Master'!$A$5:$A$16,0)),"")</f>
        <v>0.708333333333333</v>
      </c>
      <c r="J406" s="16" t="n">
        <f aca="false">IFERROR(INDEX('Shift Master'!$E$5:$E$16,MATCH(G406,'Shift Master'!$A$5:$A$16,0)),"")</f>
        <v>60</v>
      </c>
      <c r="K406" s="16" t="n">
        <f aca="false">IFERROR(INDEX('Shift Master'!$G$5:$G$16,MATCH(G406,'Shift Master'!$A$5:$A$16,0)),0)</f>
        <v>7</v>
      </c>
      <c r="L406" s="16" t="s">
        <v>228</v>
      </c>
      <c r="M406" s="16" t="s">
        <v>229</v>
      </c>
      <c r="N406" s="16" t="str">
        <f aca="false">IF(COUNTIFS('Staffing Coverage'!$A$5:$A$12,E406,'Staffing Coverage'!$B$5:$B$12,G406)=0,"",IF(COUNTIFS($A$5:$A$10004,A406,$E$5:$E$10004,E406,$G$5:$G$10004,G406)&lt;INDEX('Staffing Coverage'!$C$5:$C$12,MATCH(1,('Staffing Coverage'!$A$5:$A$12=E406)*('Staffing Coverage'!$B$5:$B$12=G406),0)),"SHORT","OK"))</f>
        <v/>
      </c>
    </row>
    <row r="407" customFormat="false" ht="15" hidden="false" customHeight="false" outlineLevel="0" collapsed="false">
      <c r="A407" s="15" t="n">
        <v>46316</v>
      </c>
      <c r="B407" s="16" t="str">
        <f aca="false">TEXT(A407,"ddd")</f>
        <v>Wed</v>
      </c>
      <c r="C407" s="10" t="s">
        <v>142</v>
      </c>
      <c r="D407" s="16" t="str">
        <f aca="false">IFERROR(INDEX('Staff Master'!$B$5:$B$24,MATCH(C407,'Staff Master'!$A$5:$A$24,0)),"")</f>
        <v>Dr. Omar Khalil</v>
      </c>
      <c r="E407" s="16" t="str">
        <f aca="false">IFERROR(INDEX('Staff Master'!$D$5:$D$24,MATCH(C407,'Staff Master'!$A$5:$A$24,0)),"")</f>
        <v>General Practice</v>
      </c>
      <c r="F407" s="16" t="str">
        <f aca="false">IFERROR(INDEX('Staff Master'!$E$5:$E$24,MATCH(C407,'Staff Master'!$A$5:$A$24,0)),"")</f>
        <v>Doctor</v>
      </c>
      <c r="G407" s="10" t="s">
        <v>96</v>
      </c>
      <c r="H407" s="17" t="n">
        <f aca="false">IFERROR(INDEX('Shift Master'!$C$5:$C$16,MATCH(G407,'Shift Master'!$A$5:$A$16,0)),"")</f>
        <v>0.375</v>
      </c>
      <c r="I407" s="17" t="n">
        <f aca="false">IFERROR(INDEX('Shift Master'!$D$5:$D$16,MATCH(G407,'Shift Master'!$A$5:$A$16,0)),"")</f>
        <v>0.708333333333333</v>
      </c>
      <c r="J407" s="16" t="n">
        <f aca="false">IFERROR(INDEX('Shift Master'!$E$5:$E$16,MATCH(G407,'Shift Master'!$A$5:$A$16,0)),"")</f>
        <v>60</v>
      </c>
      <c r="K407" s="16" t="n">
        <f aca="false">IFERROR(INDEX('Shift Master'!$G$5:$G$16,MATCH(G407,'Shift Master'!$A$5:$A$16,0)),0)</f>
        <v>7</v>
      </c>
      <c r="L407" s="16" t="s">
        <v>228</v>
      </c>
      <c r="M407" s="16" t="s">
        <v>229</v>
      </c>
      <c r="N407" s="16" t="str">
        <f aca="false">IF(COUNTIFS('Staffing Coverage'!$A$5:$A$12,E407,'Staffing Coverage'!$B$5:$B$12,G407)=0,"",IF(COUNTIFS($A$5:$A$10004,A407,$E$5:$E$10004,E407,$G$5:$G$10004,G407)&lt;INDEX('Staffing Coverage'!$C$5:$C$12,MATCH(1,('Staffing Coverage'!$A$5:$A$12=E407)*('Staffing Coverage'!$B$5:$B$12=G407),0)),"SHORT","OK"))</f>
        <v/>
      </c>
    </row>
    <row r="408" customFormat="false" ht="15" hidden="false" customHeight="false" outlineLevel="0" collapsed="false">
      <c r="A408" s="15" t="n">
        <v>46316</v>
      </c>
      <c r="B408" s="16" t="str">
        <f aca="false">TEXT(A408,"ddd")</f>
        <v>Wed</v>
      </c>
      <c r="C408" s="10" t="s">
        <v>146</v>
      </c>
      <c r="D408" s="16" t="str">
        <f aca="false">IFERROR(INDEX('Staff Master'!$B$5:$B$24,MATCH(C408,'Staff Master'!$A$5:$A$24,0)),"")</f>
        <v>Dr. Lina Abboud</v>
      </c>
      <c r="E408" s="16" t="str">
        <f aca="false">IFERROR(INDEX('Staff Master'!$D$5:$D$24,MATCH(C408,'Staff Master'!$A$5:$A$24,0)),"")</f>
        <v>Dental</v>
      </c>
      <c r="F408" s="16" t="str">
        <f aca="false">IFERROR(INDEX('Staff Master'!$E$5:$E$24,MATCH(C408,'Staff Master'!$A$5:$A$24,0)),"")</f>
        <v>Dentist</v>
      </c>
      <c r="G408" s="10" t="s">
        <v>96</v>
      </c>
      <c r="H408" s="17" t="n">
        <f aca="false">IFERROR(INDEX('Shift Master'!$C$5:$C$16,MATCH(G408,'Shift Master'!$A$5:$A$16,0)),"")</f>
        <v>0.375</v>
      </c>
      <c r="I408" s="17" t="n">
        <f aca="false">IFERROR(INDEX('Shift Master'!$D$5:$D$16,MATCH(G408,'Shift Master'!$A$5:$A$16,0)),"")</f>
        <v>0.708333333333333</v>
      </c>
      <c r="J408" s="16" t="n">
        <f aca="false">IFERROR(INDEX('Shift Master'!$E$5:$E$16,MATCH(G408,'Shift Master'!$A$5:$A$16,0)),"")</f>
        <v>60</v>
      </c>
      <c r="K408" s="16" t="n">
        <f aca="false">IFERROR(INDEX('Shift Master'!$G$5:$G$16,MATCH(G408,'Shift Master'!$A$5:$A$16,0)),0)</f>
        <v>7</v>
      </c>
      <c r="L408" s="16" t="s">
        <v>228</v>
      </c>
      <c r="M408" s="16" t="s">
        <v>229</v>
      </c>
      <c r="N408" s="16" t="str">
        <f aca="false">IF(COUNTIFS('Staffing Coverage'!$A$5:$A$12,E408,'Staffing Coverage'!$B$5:$B$12,G408)=0,"",IF(COUNTIFS($A$5:$A$10004,A408,$E$5:$E$10004,E408,$G$5:$G$10004,G408)&lt;INDEX('Staffing Coverage'!$C$5:$C$12,MATCH(1,('Staffing Coverage'!$A$5:$A$12=E408)*('Staffing Coverage'!$B$5:$B$12=G408),0)),"SHORT","OK"))</f>
        <v/>
      </c>
    </row>
    <row r="409" customFormat="false" ht="15" hidden="false" customHeight="false" outlineLevel="0" collapsed="false">
      <c r="A409" s="15" t="n">
        <v>46316</v>
      </c>
      <c r="B409" s="16" t="str">
        <f aca="false">TEXT(A409,"ddd")</f>
        <v>Wed</v>
      </c>
      <c r="C409" s="10" t="s">
        <v>150</v>
      </c>
      <c r="D409" s="16" t="str">
        <f aca="false">IFERROR(INDEX('Staff Master'!$B$5:$B$24,MATCH(C409,'Staff Master'!$A$5:$A$24,0)),"")</f>
        <v>Dr. Farah Idris</v>
      </c>
      <c r="E409" s="16" t="str">
        <f aca="false">IFERROR(INDEX('Staff Master'!$D$5:$D$24,MATCH(C409,'Staff Master'!$A$5:$A$24,0)),"")</f>
        <v>Dental</v>
      </c>
      <c r="F409" s="16" t="str">
        <f aca="false">IFERROR(INDEX('Staff Master'!$E$5:$E$24,MATCH(C409,'Staff Master'!$A$5:$A$24,0)),"")</f>
        <v>Dentist</v>
      </c>
      <c r="G409" s="10" t="s">
        <v>96</v>
      </c>
      <c r="H409" s="17" t="n">
        <f aca="false">IFERROR(INDEX('Shift Master'!$C$5:$C$16,MATCH(G409,'Shift Master'!$A$5:$A$16,0)),"")</f>
        <v>0.375</v>
      </c>
      <c r="I409" s="17" t="n">
        <f aca="false">IFERROR(INDEX('Shift Master'!$D$5:$D$16,MATCH(G409,'Shift Master'!$A$5:$A$16,0)),"")</f>
        <v>0.708333333333333</v>
      </c>
      <c r="J409" s="16" t="n">
        <f aca="false">IFERROR(INDEX('Shift Master'!$E$5:$E$16,MATCH(G409,'Shift Master'!$A$5:$A$16,0)),"")</f>
        <v>60</v>
      </c>
      <c r="K409" s="16" t="n">
        <f aca="false">IFERROR(INDEX('Shift Master'!$G$5:$G$16,MATCH(G409,'Shift Master'!$A$5:$A$16,0)),0)</f>
        <v>7</v>
      </c>
      <c r="L409" s="16" t="s">
        <v>228</v>
      </c>
      <c r="M409" s="16" t="s">
        <v>229</v>
      </c>
      <c r="N409" s="16" t="str">
        <f aca="false">IF(COUNTIFS('Staffing Coverage'!$A$5:$A$12,E409,'Staffing Coverage'!$B$5:$B$12,G409)=0,"",IF(COUNTIFS($A$5:$A$10004,A409,$E$5:$E$10004,E409,$G$5:$G$10004,G409)&lt;INDEX('Staffing Coverage'!$C$5:$C$12,MATCH(1,('Staffing Coverage'!$A$5:$A$12=E409)*('Staffing Coverage'!$B$5:$B$12=G409),0)),"SHORT","OK"))</f>
        <v/>
      </c>
    </row>
    <row r="410" customFormat="false" ht="15" hidden="false" customHeight="false" outlineLevel="0" collapsed="false">
      <c r="A410" s="15" t="n">
        <v>46316</v>
      </c>
      <c r="B410" s="16" t="str">
        <f aca="false">TEXT(A410,"ddd")</f>
        <v>Wed</v>
      </c>
      <c r="C410" s="10" t="s">
        <v>157</v>
      </c>
      <c r="D410" s="16" t="str">
        <f aca="false">IFERROR(INDEX('Staff Master'!$B$5:$B$24,MATCH(C410,'Staff Master'!$A$5:$A$24,0)),"")</f>
        <v>Dr. Youssef Nassar</v>
      </c>
      <c r="E410" s="16" t="str">
        <f aca="false">IFERROR(INDEX('Staff Master'!$D$5:$D$24,MATCH(C410,'Staff Master'!$A$5:$A$24,0)),"")</f>
        <v>General Practice</v>
      </c>
      <c r="F410" s="16" t="str">
        <f aca="false">IFERROR(INDEX('Staff Master'!$E$5:$E$24,MATCH(C410,'Staff Master'!$A$5:$A$24,0)),"")</f>
        <v>General Practitioner</v>
      </c>
      <c r="G410" s="10" t="s">
        <v>96</v>
      </c>
      <c r="H410" s="17" t="n">
        <f aca="false">IFERROR(INDEX('Shift Master'!$C$5:$C$16,MATCH(G410,'Shift Master'!$A$5:$A$16,0)),"")</f>
        <v>0.375</v>
      </c>
      <c r="I410" s="17" t="n">
        <f aca="false">IFERROR(INDEX('Shift Master'!$D$5:$D$16,MATCH(G410,'Shift Master'!$A$5:$A$16,0)),"")</f>
        <v>0.708333333333333</v>
      </c>
      <c r="J410" s="16" t="n">
        <f aca="false">IFERROR(INDEX('Shift Master'!$E$5:$E$16,MATCH(G410,'Shift Master'!$A$5:$A$16,0)),"")</f>
        <v>60</v>
      </c>
      <c r="K410" s="16" t="n">
        <f aca="false">IFERROR(INDEX('Shift Master'!$G$5:$G$16,MATCH(G410,'Shift Master'!$A$5:$A$16,0)),0)</f>
        <v>7</v>
      </c>
      <c r="L410" s="16" t="s">
        <v>228</v>
      </c>
      <c r="M410" s="16" t="s">
        <v>229</v>
      </c>
      <c r="N410" s="16" t="str">
        <f aca="false">IF(COUNTIFS('Staffing Coverage'!$A$5:$A$12,E410,'Staffing Coverage'!$B$5:$B$12,G410)=0,"",IF(COUNTIFS($A$5:$A$10004,A410,$E$5:$E$10004,E410,$G$5:$G$10004,G410)&lt;INDEX('Staffing Coverage'!$C$5:$C$12,MATCH(1,('Staffing Coverage'!$A$5:$A$12=E410)*('Staffing Coverage'!$B$5:$B$12=G410),0)),"SHORT","OK"))</f>
        <v/>
      </c>
    </row>
    <row r="411" customFormat="false" ht="15" hidden="false" customHeight="false" outlineLevel="0" collapsed="false">
      <c r="A411" s="15" t="n">
        <v>46316</v>
      </c>
      <c r="B411" s="16" t="str">
        <f aca="false">TEXT(A411,"ddd")</f>
        <v>Wed</v>
      </c>
      <c r="C411" s="10" t="s">
        <v>161</v>
      </c>
      <c r="D411" s="16" t="str">
        <f aca="false">IFERROR(INDEX('Staff Master'!$B$5:$B$24,MATCH(C411,'Staff Master'!$A$5:$A$24,0)),"")</f>
        <v>Grace Fernandez</v>
      </c>
      <c r="E411" s="16" t="str">
        <f aca="false">IFERROR(INDEX('Staff Master'!$D$5:$D$24,MATCH(C411,'Staff Master'!$A$5:$A$24,0)),"")</f>
        <v>Nursing</v>
      </c>
      <c r="F411" s="16" t="str">
        <f aca="false">IFERROR(INDEX('Staff Master'!$E$5:$E$24,MATCH(C411,'Staff Master'!$A$5:$A$24,0)),"")</f>
        <v>Nurse</v>
      </c>
      <c r="G411" s="10" t="s">
        <v>87</v>
      </c>
      <c r="H411" s="17" t="n">
        <f aca="false">IFERROR(INDEX('Shift Master'!$C$5:$C$16,MATCH(G411,'Shift Master'!$A$5:$A$16,0)),"")</f>
        <v>0.333333333333333</v>
      </c>
      <c r="I411" s="17" t="n">
        <f aca="false">IFERROR(INDEX('Shift Master'!$D$5:$D$16,MATCH(G411,'Shift Master'!$A$5:$A$16,0)),"")</f>
        <v>0.708333333333333</v>
      </c>
      <c r="J411" s="16" t="n">
        <f aca="false">IFERROR(INDEX('Shift Master'!$E$5:$E$16,MATCH(G411,'Shift Master'!$A$5:$A$16,0)),"")</f>
        <v>60</v>
      </c>
      <c r="K411" s="16" t="n">
        <f aca="false">IFERROR(INDEX('Shift Master'!$G$5:$G$16,MATCH(G411,'Shift Master'!$A$5:$A$16,0)),0)</f>
        <v>8</v>
      </c>
      <c r="L411" s="16" t="s">
        <v>228</v>
      </c>
      <c r="M411" s="16" t="s">
        <v>229</v>
      </c>
      <c r="N411" s="16" t="str">
        <f aca="false">IF(COUNTIFS('Staffing Coverage'!$A$5:$A$12,E411,'Staffing Coverage'!$B$5:$B$12,G411)=0,"",IF(COUNTIFS($A$5:$A$10004,A411,$E$5:$E$10004,E411,$G$5:$G$10004,G411)&lt;INDEX('Staffing Coverage'!$C$5:$C$12,MATCH(1,('Staffing Coverage'!$A$5:$A$12=E411)*('Staffing Coverage'!$B$5:$B$12=G411),0)),"SHORT","OK"))</f>
        <v>OK</v>
      </c>
    </row>
    <row r="412" customFormat="false" ht="15" hidden="false" customHeight="false" outlineLevel="0" collapsed="false">
      <c r="A412" s="15" t="n">
        <v>46316</v>
      </c>
      <c r="B412" s="16" t="str">
        <f aca="false">TEXT(A412,"ddd")</f>
        <v>Wed</v>
      </c>
      <c r="C412" s="10" t="s">
        <v>165</v>
      </c>
      <c r="D412" s="16" t="str">
        <f aca="false">IFERROR(INDEX('Staff Master'!$B$5:$B$24,MATCH(C412,'Staff Master'!$A$5:$A$24,0)),"")</f>
        <v>Priya Nair</v>
      </c>
      <c r="E412" s="16" t="str">
        <f aca="false">IFERROR(INDEX('Staff Master'!$D$5:$D$24,MATCH(C412,'Staff Master'!$A$5:$A$24,0)),"")</f>
        <v>Nursing</v>
      </c>
      <c r="F412" s="16" t="str">
        <f aca="false">IFERROR(INDEX('Staff Master'!$E$5:$E$24,MATCH(C412,'Staff Master'!$A$5:$A$24,0)),"")</f>
        <v>Nurse</v>
      </c>
      <c r="G412" s="10" t="s">
        <v>90</v>
      </c>
      <c r="H412" s="17" t="n">
        <f aca="false">IFERROR(INDEX('Shift Master'!$C$5:$C$16,MATCH(G412,'Shift Master'!$A$5:$A$16,0)),"")</f>
        <v>0.375</v>
      </c>
      <c r="I412" s="17" t="n">
        <f aca="false">IFERROR(INDEX('Shift Master'!$D$5:$D$16,MATCH(G412,'Shift Master'!$A$5:$A$16,0)),"")</f>
        <v>0.75</v>
      </c>
      <c r="J412" s="16" t="n">
        <f aca="false">IFERROR(INDEX('Shift Master'!$E$5:$E$16,MATCH(G412,'Shift Master'!$A$5:$A$16,0)),"")</f>
        <v>60</v>
      </c>
      <c r="K412" s="16" t="n">
        <f aca="false">IFERROR(INDEX('Shift Master'!$G$5:$G$16,MATCH(G412,'Shift Master'!$A$5:$A$16,0)),0)</f>
        <v>8</v>
      </c>
      <c r="L412" s="16" t="s">
        <v>228</v>
      </c>
      <c r="M412" s="16" t="s">
        <v>229</v>
      </c>
      <c r="N412" s="16" t="str">
        <f aca="false">IF(COUNTIFS('Staffing Coverage'!$A$5:$A$12,E412,'Staffing Coverage'!$B$5:$B$12,G412)=0,"",IF(COUNTIFS($A$5:$A$10004,A412,$E$5:$E$10004,E412,$G$5:$G$10004,G412)&lt;INDEX('Staffing Coverage'!$C$5:$C$12,MATCH(1,('Staffing Coverage'!$A$5:$A$12=E412)*('Staffing Coverage'!$B$5:$B$12=G412),0)),"SHORT","OK"))</f>
        <v>OK</v>
      </c>
    </row>
    <row r="413" customFormat="false" ht="15" hidden="false" customHeight="false" outlineLevel="0" collapsed="false">
      <c r="A413" s="15" t="n">
        <v>46316</v>
      </c>
      <c r="B413" s="16" t="str">
        <f aca="false">TEXT(A413,"ddd")</f>
        <v>Wed</v>
      </c>
      <c r="C413" s="10" t="s">
        <v>170</v>
      </c>
      <c r="D413" s="16" t="str">
        <f aca="false">IFERROR(INDEX('Staff Master'!$B$5:$B$24,MATCH(C413,'Staff Master'!$A$5:$A$24,0)),"")</f>
        <v>Maria Santos</v>
      </c>
      <c r="E413" s="16" t="str">
        <f aca="false">IFERROR(INDEX('Staff Master'!$D$5:$D$24,MATCH(C413,'Staff Master'!$A$5:$A$24,0)),"")</f>
        <v>Nursing</v>
      </c>
      <c r="F413" s="16" t="str">
        <f aca="false">IFERROR(INDEX('Staff Master'!$E$5:$E$24,MATCH(C413,'Staff Master'!$A$5:$A$24,0)),"")</f>
        <v>Nurse</v>
      </c>
      <c r="G413" s="10" t="s">
        <v>94</v>
      </c>
      <c r="H413" s="17" t="n">
        <f aca="false">IFERROR(INDEX('Shift Master'!$C$5:$C$16,MATCH(G413,'Shift Master'!$A$5:$A$16,0)),"")</f>
        <v>0.541666666666667</v>
      </c>
      <c r="I413" s="17" t="n">
        <f aca="false">IFERROR(INDEX('Shift Master'!$D$5:$D$16,MATCH(G413,'Shift Master'!$A$5:$A$16,0)),"")</f>
        <v>0.916666666666667</v>
      </c>
      <c r="J413" s="16" t="n">
        <f aca="false">IFERROR(INDEX('Shift Master'!$E$5:$E$16,MATCH(G413,'Shift Master'!$A$5:$A$16,0)),"")</f>
        <v>60</v>
      </c>
      <c r="K413" s="16" t="n">
        <f aca="false">IFERROR(INDEX('Shift Master'!$G$5:$G$16,MATCH(G413,'Shift Master'!$A$5:$A$16,0)),0)</f>
        <v>8</v>
      </c>
      <c r="L413" s="16" t="s">
        <v>228</v>
      </c>
      <c r="M413" s="16" t="s">
        <v>229</v>
      </c>
      <c r="N413" s="16" t="str">
        <f aca="false">IF(COUNTIFS('Staffing Coverage'!$A$5:$A$12,E413,'Staffing Coverage'!$B$5:$B$12,G413)=0,"",IF(COUNTIFS($A$5:$A$10004,A413,$E$5:$E$10004,E413,$G$5:$G$10004,G413)&lt;INDEX('Staffing Coverage'!$C$5:$C$12,MATCH(1,('Staffing Coverage'!$A$5:$A$12=E413)*('Staffing Coverage'!$B$5:$B$12=G413),0)),"SHORT","OK"))</f>
        <v/>
      </c>
    </row>
    <row r="414" customFormat="false" ht="15" hidden="false" customHeight="false" outlineLevel="0" collapsed="false">
      <c r="A414" s="15" t="n">
        <v>46316</v>
      </c>
      <c r="B414" s="16" t="str">
        <f aca="false">TEXT(A414,"ddd")</f>
        <v>Wed</v>
      </c>
      <c r="C414" s="10" t="s">
        <v>174</v>
      </c>
      <c r="D414" s="16" t="str">
        <f aca="false">IFERROR(INDEX('Staff Master'!$B$5:$B$24,MATCH(C414,'Staff Master'!$A$5:$A$24,0)),"")</f>
        <v>Aisha Al Shamsi</v>
      </c>
      <c r="E414" s="16" t="str">
        <f aca="false">IFERROR(INDEX('Staff Master'!$D$5:$D$24,MATCH(C414,'Staff Master'!$A$5:$A$24,0)),"")</f>
        <v>Reception</v>
      </c>
      <c r="F414" s="16" t="str">
        <f aca="false">IFERROR(INDEX('Staff Master'!$E$5:$E$24,MATCH(C414,'Staff Master'!$A$5:$A$24,0)),"")</f>
        <v>Receptionist</v>
      </c>
      <c r="G414" s="10" t="s">
        <v>87</v>
      </c>
      <c r="H414" s="17" t="n">
        <f aca="false">IFERROR(INDEX('Shift Master'!$C$5:$C$16,MATCH(G414,'Shift Master'!$A$5:$A$16,0)),"")</f>
        <v>0.333333333333333</v>
      </c>
      <c r="I414" s="17" t="n">
        <f aca="false">IFERROR(INDEX('Shift Master'!$D$5:$D$16,MATCH(G414,'Shift Master'!$A$5:$A$16,0)),"")</f>
        <v>0.708333333333333</v>
      </c>
      <c r="J414" s="16" t="n">
        <f aca="false">IFERROR(INDEX('Shift Master'!$E$5:$E$16,MATCH(G414,'Shift Master'!$A$5:$A$16,0)),"")</f>
        <v>60</v>
      </c>
      <c r="K414" s="16" t="n">
        <f aca="false">IFERROR(INDEX('Shift Master'!$G$5:$G$16,MATCH(G414,'Shift Master'!$A$5:$A$16,0)),0)</f>
        <v>8</v>
      </c>
      <c r="L414" s="16" t="s">
        <v>228</v>
      </c>
      <c r="M414" s="16" t="s">
        <v>229</v>
      </c>
      <c r="N414" s="16" t="str">
        <f aca="false">IF(COUNTIFS('Staffing Coverage'!$A$5:$A$12,E414,'Staffing Coverage'!$B$5:$B$12,G414)=0,"",IF(COUNTIFS($A$5:$A$10004,A414,$E$5:$E$10004,E414,$G$5:$G$10004,G414)&lt;INDEX('Staffing Coverage'!$C$5:$C$12,MATCH(1,('Staffing Coverage'!$A$5:$A$12=E414)*('Staffing Coverage'!$B$5:$B$12=G414),0)),"SHORT","OK"))</f>
        <v>SHORT</v>
      </c>
    </row>
    <row r="415" customFormat="false" ht="15" hidden="false" customHeight="false" outlineLevel="0" collapsed="false">
      <c r="A415" s="15" t="n">
        <v>46316</v>
      </c>
      <c r="B415" s="16" t="str">
        <f aca="false">TEXT(A415,"ddd")</f>
        <v>Wed</v>
      </c>
      <c r="C415" s="10" t="s">
        <v>179</v>
      </c>
      <c r="D415" s="16" t="str">
        <f aca="false">IFERROR(INDEX('Staff Master'!$B$5:$B$24,MATCH(C415,'Staff Master'!$A$5:$A$24,0)),"")</f>
        <v>John Dsouza</v>
      </c>
      <c r="E415" s="16" t="str">
        <f aca="false">IFERROR(INDEX('Staff Master'!$D$5:$D$24,MATCH(C415,'Staff Master'!$A$5:$A$24,0)),"")</f>
        <v>Reception</v>
      </c>
      <c r="F415" s="16" t="str">
        <f aca="false">IFERROR(INDEX('Staff Master'!$E$5:$E$24,MATCH(C415,'Staff Master'!$A$5:$A$24,0)),"")</f>
        <v>Receptionist</v>
      </c>
      <c r="G415" s="10" t="s">
        <v>90</v>
      </c>
      <c r="H415" s="17" t="n">
        <f aca="false">IFERROR(INDEX('Shift Master'!$C$5:$C$16,MATCH(G415,'Shift Master'!$A$5:$A$16,0)),"")</f>
        <v>0.375</v>
      </c>
      <c r="I415" s="17" t="n">
        <f aca="false">IFERROR(INDEX('Shift Master'!$D$5:$D$16,MATCH(G415,'Shift Master'!$A$5:$A$16,0)),"")</f>
        <v>0.75</v>
      </c>
      <c r="J415" s="16" t="n">
        <f aca="false">IFERROR(INDEX('Shift Master'!$E$5:$E$16,MATCH(G415,'Shift Master'!$A$5:$A$16,0)),"")</f>
        <v>60</v>
      </c>
      <c r="K415" s="16" t="n">
        <f aca="false">IFERROR(INDEX('Shift Master'!$G$5:$G$16,MATCH(G415,'Shift Master'!$A$5:$A$16,0)),0)</f>
        <v>8</v>
      </c>
      <c r="L415" s="16" t="s">
        <v>228</v>
      </c>
      <c r="M415" s="16" t="s">
        <v>229</v>
      </c>
      <c r="N415" s="16" t="str">
        <f aca="false">IF(COUNTIFS('Staffing Coverage'!$A$5:$A$12,E415,'Staffing Coverage'!$B$5:$B$12,G415)=0,"",IF(COUNTIFS($A$5:$A$10004,A415,$E$5:$E$10004,E415,$G$5:$G$10004,G415)&lt;INDEX('Staffing Coverage'!$C$5:$C$12,MATCH(1,('Staffing Coverage'!$A$5:$A$12=E415)*('Staffing Coverage'!$B$5:$B$12=G415),0)),"SHORT","OK"))</f>
        <v>SHORT</v>
      </c>
    </row>
    <row r="416" customFormat="false" ht="15" hidden="false" customHeight="false" outlineLevel="0" collapsed="false">
      <c r="A416" s="15" t="n">
        <v>46316</v>
      </c>
      <c r="B416" s="16" t="str">
        <f aca="false">TEXT(A416,"ddd")</f>
        <v>Wed</v>
      </c>
      <c r="C416" s="10" t="s">
        <v>184</v>
      </c>
      <c r="D416" s="16" t="str">
        <f aca="false">IFERROR(INDEX('Staff Master'!$B$5:$B$24,MATCH(C416,'Staff Master'!$A$5:$A$24,0)),"")</f>
        <v>Fatima Zahra</v>
      </c>
      <c r="E416" s="16" t="str">
        <f aca="false">IFERROR(INDEX('Staff Master'!$D$5:$D$24,MATCH(C416,'Staff Master'!$A$5:$A$24,0)),"")</f>
        <v>Reception</v>
      </c>
      <c r="F416" s="16" t="str">
        <f aca="false">IFERROR(INDEX('Staff Master'!$E$5:$E$24,MATCH(C416,'Staff Master'!$A$5:$A$24,0)),"")</f>
        <v>Receptionist</v>
      </c>
      <c r="G416" s="10" t="s">
        <v>94</v>
      </c>
      <c r="H416" s="17" t="n">
        <f aca="false">IFERROR(INDEX('Shift Master'!$C$5:$C$16,MATCH(G416,'Shift Master'!$A$5:$A$16,0)),"")</f>
        <v>0.541666666666667</v>
      </c>
      <c r="I416" s="17" t="n">
        <f aca="false">IFERROR(INDEX('Shift Master'!$D$5:$D$16,MATCH(G416,'Shift Master'!$A$5:$A$16,0)),"")</f>
        <v>0.916666666666667</v>
      </c>
      <c r="J416" s="16" t="n">
        <f aca="false">IFERROR(INDEX('Shift Master'!$E$5:$E$16,MATCH(G416,'Shift Master'!$A$5:$A$16,0)),"")</f>
        <v>60</v>
      </c>
      <c r="K416" s="16" t="n">
        <f aca="false">IFERROR(INDEX('Shift Master'!$G$5:$G$16,MATCH(G416,'Shift Master'!$A$5:$A$16,0)),0)</f>
        <v>8</v>
      </c>
      <c r="L416" s="16" t="s">
        <v>228</v>
      </c>
      <c r="M416" s="16" t="s">
        <v>229</v>
      </c>
      <c r="N416" s="16" t="str">
        <f aca="false">IF(COUNTIFS('Staffing Coverage'!$A$5:$A$12,E416,'Staffing Coverage'!$B$5:$B$12,G416)=0,"",IF(COUNTIFS($A$5:$A$10004,A416,$E$5:$E$10004,E416,$G$5:$G$10004,G416)&lt;INDEX('Staffing Coverage'!$C$5:$C$12,MATCH(1,('Staffing Coverage'!$A$5:$A$12=E416)*('Staffing Coverage'!$B$5:$B$12=G416),0)),"SHORT","OK"))</f>
        <v>OK</v>
      </c>
    </row>
    <row r="417" customFormat="false" ht="15" hidden="false" customHeight="false" outlineLevel="0" collapsed="false">
      <c r="A417" s="15" t="n">
        <v>46316</v>
      </c>
      <c r="B417" s="16" t="str">
        <f aca="false">TEXT(A417,"ddd")</f>
        <v>Wed</v>
      </c>
      <c r="C417" s="10" t="s">
        <v>188</v>
      </c>
      <c r="D417" s="16" t="str">
        <f aca="false">IFERROR(INDEX('Staff Master'!$B$5:$B$24,MATCH(C417,'Staff Master'!$A$5:$A$24,0)),"")</f>
        <v>Ana Reyes</v>
      </c>
      <c r="E417" s="16" t="str">
        <f aca="false">IFERROR(INDEX('Staff Master'!$D$5:$D$24,MATCH(C417,'Staff Master'!$A$5:$A$24,0)),"")</f>
        <v>Dental</v>
      </c>
      <c r="F417" s="16" t="str">
        <f aca="false">IFERROR(INDEX('Staff Master'!$E$5:$E$24,MATCH(C417,'Staff Master'!$A$5:$A$24,0)),"")</f>
        <v>Dental Assistant</v>
      </c>
      <c r="G417" s="10" t="s">
        <v>87</v>
      </c>
      <c r="H417" s="17" t="n">
        <f aca="false">IFERROR(INDEX('Shift Master'!$C$5:$C$16,MATCH(G417,'Shift Master'!$A$5:$A$16,0)),"")</f>
        <v>0.333333333333333</v>
      </c>
      <c r="I417" s="17" t="n">
        <f aca="false">IFERROR(INDEX('Shift Master'!$D$5:$D$16,MATCH(G417,'Shift Master'!$A$5:$A$16,0)),"")</f>
        <v>0.708333333333333</v>
      </c>
      <c r="J417" s="16" t="n">
        <f aca="false">IFERROR(INDEX('Shift Master'!$E$5:$E$16,MATCH(G417,'Shift Master'!$A$5:$A$16,0)),"")</f>
        <v>60</v>
      </c>
      <c r="K417" s="16" t="n">
        <f aca="false">IFERROR(INDEX('Shift Master'!$G$5:$G$16,MATCH(G417,'Shift Master'!$A$5:$A$16,0)),0)</f>
        <v>8</v>
      </c>
      <c r="L417" s="16" t="s">
        <v>228</v>
      </c>
      <c r="M417" s="16" t="s">
        <v>229</v>
      </c>
      <c r="N417" s="16" t="str">
        <f aca="false">IF(COUNTIFS('Staffing Coverage'!$A$5:$A$12,E417,'Staffing Coverage'!$B$5:$B$12,G417)=0,"",IF(COUNTIFS($A$5:$A$10004,A417,$E$5:$E$10004,E417,$G$5:$G$10004,G417)&lt;INDEX('Staffing Coverage'!$C$5:$C$12,MATCH(1,('Staffing Coverage'!$A$5:$A$12=E417)*('Staffing Coverage'!$B$5:$B$12=G417),0)),"SHORT","OK"))</f>
        <v>OK</v>
      </c>
    </row>
    <row r="418" customFormat="false" ht="15" hidden="false" customHeight="false" outlineLevel="0" collapsed="false">
      <c r="A418" s="15" t="n">
        <v>46316</v>
      </c>
      <c r="B418" s="16" t="str">
        <f aca="false">TEXT(A418,"ddd")</f>
        <v>Wed</v>
      </c>
      <c r="C418" s="10" t="s">
        <v>192</v>
      </c>
      <c r="D418" s="16" t="str">
        <f aca="false">IFERROR(INDEX('Staff Master'!$B$5:$B$24,MATCH(C418,'Staff Master'!$A$5:$A$24,0)),"")</f>
        <v>Noor Hassan</v>
      </c>
      <c r="E418" s="16" t="str">
        <f aca="false">IFERROR(INDEX('Staff Master'!$D$5:$D$24,MATCH(C418,'Staff Master'!$A$5:$A$24,0)),"")</f>
        <v>Dental</v>
      </c>
      <c r="F418" s="16" t="str">
        <f aca="false">IFERROR(INDEX('Staff Master'!$E$5:$E$24,MATCH(C418,'Staff Master'!$A$5:$A$24,0)),"")</f>
        <v>Dental Assistant</v>
      </c>
      <c r="G418" s="10" t="s">
        <v>90</v>
      </c>
      <c r="H418" s="17" t="n">
        <f aca="false">IFERROR(INDEX('Shift Master'!$C$5:$C$16,MATCH(G418,'Shift Master'!$A$5:$A$16,0)),"")</f>
        <v>0.375</v>
      </c>
      <c r="I418" s="17" t="n">
        <f aca="false">IFERROR(INDEX('Shift Master'!$D$5:$D$16,MATCH(G418,'Shift Master'!$A$5:$A$16,0)),"")</f>
        <v>0.75</v>
      </c>
      <c r="J418" s="16" t="n">
        <f aca="false">IFERROR(INDEX('Shift Master'!$E$5:$E$16,MATCH(G418,'Shift Master'!$A$5:$A$16,0)),"")</f>
        <v>60</v>
      </c>
      <c r="K418" s="16" t="n">
        <f aca="false">IFERROR(INDEX('Shift Master'!$G$5:$G$16,MATCH(G418,'Shift Master'!$A$5:$A$16,0)),0)</f>
        <v>8</v>
      </c>
      <c r="L418" s="16" t="s">
        <v>228</v>
      </c>
      <c r="M418" s="16" t="s">
        <v>229</v>
      </c>
      <c r="N418" s="16" t="str">
        <f aca="false">IF(COUNTIFS('Staffing Coverage'!$A$5:$A$12,E418,'Staffing Coverage'!$B$5:$B$12,G418)=0,"",IF(COUNTIFS($A$5:$A$10004,A418,$E$5:$E$10004,E418,$G$5:$G$10004,G418)&lt;INDEX('Staffing Coverage'!$C$5:$C$12,MATCH(1,('Staffing Coverage'!$A$5:$A$12=E418)*('Staffing Coverage'!$B$5:$B$12=G418),0)),"SHORT","OK"))</f>
        <v/>
      </c>
    </row>
    <row r="419" customFormat="false" ht="15" hidden="false" customHeight="false" outlineLevel="0" collapsed="false">
      <c r="A419" s="15" t="n">
        <v>46316</v>
      </c>
      <c r="B419" s="16" t="str">
        <f aca="false">TEXT(A419,"ddd")</f>
        <v>Wed</v>
      </c>
      <c r="C419" s="10" t="s">
        <v>196</v>
      </c>
      <c r="D419" s="16" t="str">
        <f aca="false">IFERROR(INDEX('Staff Master'!$B$5:$B$24,MATCH(C419,'Staff Master'!$A$5:$A$24,0)),"")</f>
        <v>Karan Mehta</v>
      </c>
      <c r="E419" s="16" t="str">
        <f aca="false">IFERROR(INDEX('Staff Master'!$D$5:$D$24,MATCH(C419,'Staff Master'!$A$5:$A$24,0)),"")</f>
        <v>Laser</v>
      </c>
      <c r="F419" s="16" t="str">
        <f aca="false">IFERROR(INDEX('Staff Master'!$E$5:$E$24,MATCH(C419,'Staff Master'!$A$5:$A$24,0)),"")</f>
        <v>Laser Technician</v>
      </c>
      <c r="G419" s="10" t="s">
        <v>90</v>
      </c>
      <c r="H419" s="17" t="n">
        <f aca="false">IFERROR(INDEX('Shift Master'!$C$5:$C$16,MATCH(G419,'Shift Master'!$A$5:$A$16,0)),"")</f>
        <v>0.375</v>
      </c>
      <c r="I419" s="17" t="n">
        <f aca="false">IFERROR(INDEX('Shift Master'!$D$5:$D$16,MATCH(G419,'Shift Master'!$A$5:$A$16,0)),"")</f>
        <v>0.75</v>
      </c>
      <c r="J419" s="16" t="n">
        <f aca="false">IFERROR(INDEX('Shift Master'!$E$5:$E$16,MATCH(G419,'Shift Master'!$A$5:$A$16,0)),"")</f>
        <v>60</v>
      </c>
      <c r="K419" s="16" t="n">
        <f aca="false">IFERROR(INDEX('Shift Master'!$G$5:$G$16,MATCH(G419,'Shift Master'!$A$5:$A$16,0)),0)</f>
        <v>8</v>
      </c>
      <c r="L419" s="16" t="s">
        <v>228</v>
      </c>
      <c r="M419" s="16" t="s">
        <v>229</v>
      </c>
      <c r="N419" s="16" t="str">
        <f aca="false">IF(COUNTIFS('Staffing Coverage'!$A$5:$A$12,E419,'Staffing Coverage'!$B$5:$B$12,G419)=0,"",IF(COUNTIFS($A$5:$A$10004,A419,$E$5:$E$10004,E419,$G$5:$G$10004,G419)&lt;INDEX('Staffing Coverage'!$C$5:$C$12,MATCH(1,('Staffing Coverage'!$A$5:$A$12=E419)*('Staffing Coverage'!$B$5:$B$12=G419),0)),"SHORT","OK"))</f>
        <v/>
      </c>
    </row>
    <row r="420" customFormat="false" ht="15" hidden="false" customHeight="false" outlineLevel="0" collapsed="false">
      <c r="A420" s="15" t="n">
        <v>46316</v>
      </c>
      <c r="B420" s="16" t="str">
        <f aca="false">TEXT(A420,"ddd")</f>
        <v>Wed</v>
      </c>
      <c r="C420" s="10" t="s">
        <v>200</v>
      </c>
      <c r="D420" s="16" t="str">
        <f aca="false">IFERROR(INDEX('Staff Master'!$B$5:$B$24,MATCH(C420,'Staff Master'!$A$5:$A$24,0)),"")</f>
        <v>Imran Sheikh</v>
      </c>
      <c r="E420" s="16" t="str">
        <f aca="false">IFERROR(INDEX('Staff Master'!$D$5:$D$24,MATCH(C420,'Staff Master'!$A$5:$A$24,0)),"")</f>
        <v>Dental Laboratory</v>
      </c>
      <c r="F420" s="16" t="str">
        <f aca="false">IFERROR(INDEX('Staff Master'!$E$5:$E$24,MATCH(C420,'Staff Master'!$A$5:$A$24,0)),"")</f>
        <v>Dental Technician</v>
      </c>
      <c r="G420" s="10" t="s">
        <v>87</v>
      </c>
      <c r="H420" s="17" t="n">
        <f aca="false">IFERROR(INDEX('Shift Master'!$C$5:$C$16,MATCH(G420,'Shift Master'!$A$5:$A$16,0)),"")</f>
        <v>0.333333333333333</v>
      </c>
      <c r="I420" s="17" t="n">
        <f aca="false">IFERROR(INDEX('Shift Master'!$D$5:$D$16,MATCH(G420,'Shift Master'!$A$5:$A$16,0)),"")</f>
        <v>0.708333333333333</v>
      </c>
      <c r="J420" s="16" t="n">
        <f aca="false">IFERROR(INDEX('Shift Master'!$E$5:$E$16,MATCH(G420,'Shift Master'!$A$5:$A$16,0)),"")</f>
        <v>60</v>
      </c>
      <c r="K420" s="16" t="n">
        <f aca="false">IFERROR(INDEX('Shift Master'!$G$5:$G$16,MATCH(G420,'Shift Master'!$A$5:$A$16,0)),0)</f>
        <v>8</v>
      </c>
      <c r="L420" s="16" t="s">
        <v>228</v>
      </c>
      <c r="M420" s="16" t="s">
        <v>229</v>
      </c>
      <c r="N420" s="16" t="str">
        <f aca="false">IF(COUNTIFS('Staffing Coverage'!$A$5:$A$12,E420,'Staffing Coverage'!$B$5:$B$12,G420)=0,"",IF(COUNTIFS($A$5:$A$10004,A420,$E$5:$E$10004,E420,$G$5:$G$10004,G420)&lt;INDEX('Staffing Coverage'!$C$5:$C$12,MATCH(1,('Staffing Coverage'!$A$5:$A$12=E420)*('Staffing Coverage'!$B$5:$B$12=G420),0)),"SHORT","OK"))</f>
        <v/>
      </c>
    </row>
    <row r="421" customFormat="false" ht="15" hidden="false" customHeight="false" outlineLevel="0" collapsed="false">
      <c r="A421" s="15" t="n">
        <v>46316</v>
      </c>
      <c r="B421" s="16" t="str">
        <f aca="false">TEXT(A421,"ddd")</f>
        <v>Wed</v>
      </c>
      <c r="C421" s="10" t="s">
        <v>204</v>
      </c>
      <c r="D421" s="16" t="str">
        <f aca="false">IFERROR(INDEX('Staff Master'!$B$5:$B$24,MATCH(C421,'Staff Master'!$A$5:$A$24,0)),"")</f>
        <v>Josephine Cruz</v>
      </c>
      <c r="E421" s="16" t="str">
        <f aca="false">IFERROR(INDEX('Staff Master'!$D$5:$D$24,MATCH(C421,'Staff Master'!$A$5:$A$24,0)),"")</f>
        <v>CSSD</v>
      </c>
      <c r="F421" s="16" t="str">
        <f aca="false">IFERROR(INDEX('Staff Master'!$E$5:$E$24,MATCH(C421,'Staff Master'!$A$5:$A$24,0)),"")</f>
        <v>CSSD Technician</v>
      </c>
      <c r="G421" s="10" t="s">
        <v>87</v>
      </c>
      <c r="H421" s="17" t="n">
        <f aca="false">IFERROR(INDEX('Shift Master'!$C$5:$C$16,MATCH(G421,'Shift Master'!$A$5:$A$16,0)),"")</f>
        <v>0.333333333333333</v>
      </c>
      <c r="I421" s="17" t="n">
        <f aca="false">IFERROR(INDEX('Shift Master'!$D$5:$D$16,MATCH(G421,'Shift Master'!$A$5:$A$16,0)),"")</f>
        <v>0.708333333333333</v>
      </c>
      <c r="J421" s="16" t="n">
        <f aca="false">IFERROR(INDEX('Shift Master'!$E$5:$E$16,MATCH(G421,'Shift Master'!$A$5:$A$16,0)),"")</f>
        <v>60</v>
      </c>
      <c r="K421" s="16" t="n">
        <f aca="false">IFERROR(INDEX('Shift Master'!$G$5:$G$16,MATCH(G421,'Shift Master'!$A$5:$A$16,0)),0)</f>
        <v>8</v>
      </c>
      <c r="L421" s="16" t="s">
        <v>228</v>
      </c>
      <c r="M421" s="16" t="s">
        <v>229</v>
      </c>
      <c r="N421" s="16" t="str">
        <f aca="false">IF(COUNTIFS('Staffing Coverage'!$A$5:$A$12,E421,'Staffing Coverage'!$B$5:$B$12,G421)=0,"",IF(COUNTIFS($A$5:$A$10004,A421,$E$5:$E$10004,E421,$G$5:$G$10004,G421)&lt;INDEX('Staffing Coverage'!$C$5:$C$12,MATCH(1,('Staffing Coverage'!$A$5:$A$12=E421)*('Staffing Coverage'!$B$5:$B$12=G421),0)),"SHORT","OK"))</f>
        <v>OK</v>
      </c>
    </row>
    <row r="422" customFormat="false" ht="15" hidden="false" customHeight="false" outlineLevel="0" collapsed="false">
      <c r="A422" s="15" t="n">
        <v>46316</v>
      </c>
      <c r="B422" s="16" t="str">
        <f aca="false">TEXT(A422,"ddd")</f>
        <v>Wed</v>
      </c>
      <c r="C422" s="10" t="s">
        <v>208</v>
      </c>
      <c r="D422" s="16" t="str">
        <f aca="false">IFERROR(INDEX('Staff Master'!$B$5:$B$24,MATCH(C422,'Staff Master'!$A$5:$A$24,0)),"")</f>
        <v>Rosalyn Tan</v>
      </c>
      <c r="E422" s="16" t="str">
        <f aca="false">IFERROR(INDEX('Staff Master'!$D$5:$D$24,MATCH(C422,'Staff Master'!$A$5:$A$24,0)),"")</f>
        <v>Cleaning</v>
      </c>
      <c r="F422" s="16" t="str">
        <f aca="false">IFERROR(INDEX('Staff Master'!$E$5:$E$24,MATCH(C422,'Staff Master'!$A$5:$A$24,0)),"")</f>
        <v>Cleaner</v>
      </c>
      <c r="G422" s="10" t="s">
        <v>87</v>
      </c>
      <c r="H422" s="17" t="n">
        <f aca="false">IFERROR(INDEX('Shift Master'!$C$5:$C$16,MATCH(G422,'Shift Master'!$A$5:$A$16,0)),"")</f>
        <v>0.333333333333333</v>
      </c>
      <c r="I422" s="17" t="n">
        <f aca="false">IFERROR(INDEX('Shift Master'!$D$5:$D$16,MATCH(G422,'Shift Master'!$A$5:$A$16,0)),"")</f>
        <v>0.708333333333333</v>
      </c>
      <c r="J422" s="16" t="n">
        <f aca="false">IFERROR(INDEX('Shift Master'!$E$5:$E$16,MATCH(G422,'Shift Master'!$A$5:$A$16,0)),"")</f>
        <v>60</v>
      </c>
      <c r="K422" s="16" t="n">
        <f aca="false">IFERROR(INDEX('Shift Master'!$G$5:$G$16,MATCH(G422,'Shift Master'!$A$5:$A$16,0)),0)</f>
        <v>8</v>
      </c>
      <c r="L422" s="16" t="s">
        <v>228</v>
      </c>
      <c r="M422" s="16" t="s">
        <v>229</v>
      </c>
      <c r="N422" s="16" t="str">
        <f aca="false">IF(COUNTIFS('Staffing Coverage'!$A$5:$A$12,E422,'Staffing Coverage'!$B$5:$B$12,G422)=0,"",IF(COUNTIFS($A$5:$A$10004,A422,$E$5:$E$10004,E422,$G$5:$G$10004,G422)&lt;INDEX('Staffing Coverage'!$C$5:$C$12,MATCH(1,('Staffing Coverage'!$A$5:$A$12=E422)*('Staffing Coverage'!$B$5:$B$12=G422),0)),"SHORT","OK"))</f>
        <v>OK</v>
      </c>
    </row>
    <row r="423" customFormat="false" ht="15" hidden="false" customHeight="false" outlineLevel="0" collapsed="false">
      <c r="A423" s="15" t="n">
        <v>46316</v>
      </c>
      <c r="B423" s="16" t="str">
        <f aca="false">TEXT(A423,"ddd")</f>
        <v>Wed</v>
      </c>
      <c r="C423" s="10" t="s">
        <v>212</v>
      </c>
      <c r="D423" s="16" t="str">
        <f aca="false">IFERROR(INDEX('Staff Master'!$B$5:$B$24,MATCH(C423,'Staff Master'!$A$5:$A$24,0)),"")</f>
        <v>Hassan Baig</v>
      </c>
      <c r="E423" s="16" t="str">
        <f aca="false">IFERROR(INDEX('Staff Master'!$D$5:$D$24,MATCH(C423,'Staff Master'!$A$5:$A$24,0)),"")</f>
        <v>Facilities</v>
      </c>
      <c r="F423" s="16" t="str">
        <f aca="false">IFERROR(INDEX('Staff Master'!$E$5:$E$24,MATCH(C423,'Staff Master'!$A$5:$A$24,0)),"")</f>
        <v>Facility Manager</v>
      </c>
      <c r="G423" s="10" t="s">
        <v>90</v>
      </c>
      <c r="H423" s="17" t="n">
        <f aca="false">IFERROR(INDEX('Shift Master'!$C$5:$C$16,MATCH(G423,'Shift Master'!$A$5:$A$16,0)),"")</f>
        <v>0.375</v>
      </c>
      <c r="I423" s="17" t="n">
        <f aca="false">IFERROR(INDEX('Shift Master'!$D$5:$D$16,MATCH(G423,'Shift Master'!$A$5:$A$16,0)),"")</f>
        <v>0.75</v>
      </c>
      <c r="J423" s="16" t="n">
        <f aca="false">IFERROR(INDEX('Shift Master'!$E$5:$E$16,MATCH(G423,'Shift Master'!$A$5:$A$16,0)),"")</f>
        <v>60</v>
      </c>
      <c r="K423" s="16" t="n">
        <f aca="false">IFERROR(INDEX('Shift Master'!$G$5:$G$16,MATCH(G423,'Shift Master'!$A$5:$A$16,0)),0)</f>
        <v>8</v>
      </c>
      <c r="L423" s="16" t="s">
        <v>228</v>
      </c>
      <c r="M423" s="16" t="s">
        <v>229</v>
      </c>
      <c r="N423" s="16" t="str">
        <f aca="false">IF(COUNTIFS('Staffing Coverage'!$A$5:$A$12,E423,'Staffing Coverage'!$B$5:$B$12,G423)=0,"",IF(COUNTIFS($A$5:$A$10004,A423,$E$5:$E$10004,E423,$G$5:$G$10004,G423)&lt;INDEX('Staffing Coverage'!$C$5:$C$12,MATCH(1,('Staffing Coverage'!$A$5:$A$12=E423)*('Staffing Coverage'!$B$5:$B$12=G423),0)),"SHORT","OK"))</f>
        <v/>
      </c>
    </row>
    <row r="424" customFormat="false" ht="15" hidden="false" customHeight="false" outlineLevel="0" collapsed="false">
      <c r="A424" s="15" t="n">
        <v>46316</v>
      </c>
      <c r="B424" s="16" t="str">
        <f aca="false">TEXT(A424,"ddd")</f>
        <v>Wed</v>
      </c>
      <c r="C424" s="10" t="s">
        <v>178</v>
      </c>
      <c r="D424" s="16" t="str">
        <f aca="false">IFERROR(INDEX('Staff Master'!$B$5:$B$24,MATCH(C424,'Staff Master'!$A$5:$A$24,0)),"")</f>
        <v>Meera Pillai</v>
      </c>
      <c r="E424" s="16" t="str">
        <f aca="false">IFERROR(INDEX('Staff Master'!$D$5:$D$24,MATCH(C424,'Staff Master'!$A$5:$A$24,0)),"")</f>
        <v>HR</v>
      </c>
      <c r="F424" s="16" t="str">
        <f aca="false">IFERROR(INDEX('Staff Master'!$E$5:$E$24,MATCH(C424,'Staff Master'!$A$5:$A$24,0)),"")</f>
        <v>HR Executive</v>
      </c>
      <c r="G424" s="10" t="s">
        <v>90</v>
      </c>
      <c r="H424" s="17" t="n">
        <f aca="false">IFERROR(INDEX('Shift Master'!$C$5:$C$16,MATCH(G424,'Shift Master'!$A$5:$A$16,0)),"")</f>
        <v>0.375</v>
      </c>
      <c r="I424" s="17" t="n">
        <f aca="false">IFERROR(INDEX('Shift Master'!$D$5:$D$16,MATCH(G424,'Shift Master'!$A$5:$A$16,0)),"")</f>
        <v>0.75</v>
      </c>
      <c r="J424" s="16" t="n">
        <f aca="false">IFERROR(INDEX('Shift Master'!$E$5:$E$16,MATCH(G424,'Shift Master'!$A$5:$A$16,0)),"")</f>
        <v>60</v>
      </c>
      <c r="K424" s="16" t="n">
        <f aca="false">IFERROR(INDEX('Shift Master'!$G$5:$G$16,MATCH(G424,'Shift Master'!$A$5:$A$16,0)),0)</f>
        <v>8</v>
      </c>
      <c r="L424" s="16" t="s">
        <v>228</v>
      </c>
      <c r="M424" s="16" t="s">
        <v>229</v>
      </c>
      <c r="N424" s="16" t="str">
        <f aca="false">IF(COUNTIFS('Staffing Coverage'!$A$5:$A$12,E424,'Staffing Coverage'!$B$5:$B$12,G424)=0,"",IF(COUNTIFS($A$5:$A$10004,A424,$E$5:$E$10004,E424,$G$5:$G$10004,G424)&lt;INDEX('Staffing Coverage'!$C$5:$C$12,MATCH(1,('Staffing Coverage'!$A$5:$A$12=E424)*('Staffing Coverage'!$B$5:$B$12=G424),0)),"SHORT","OK"))</f>
        <v/>
      </c>
    </row>
    <row r="425" customFormat="false" ht="15" hidden="false" customHeight="false" outlineLevel="0" collapsed="false">
      <c r="A425" s="15" t="n">
        <v>46317</v>
      </c>
      <c r="B425" s="16" t="str">
        <f aca="false">TEXT(A425,"ddd")</f>
        <v>Thu</v>
      </c>
      <c r="C425" s="10" t="s">
        <v>128</v>
      </c>
      <c r="D425" s="16" t="str">
        <f aca="false">IFERROR(INDEX('Staff Master'!$B$5:$B$24,MATCH(C425,'Staff Master'!$A$5:$A$24,0)),"")</f>
        <v>Rashid Al Nuaimi</v>
      </c>
      <c r="E425" s="16" t="str">
        <f aca="false">IFERROR(INDEX('Staff Master'!$D$5:$D$24,MATCH(C425,'Staff Master'!$A$5:$A$24,0)),"")</f>
        <v>Management</v>
      </c>
      <c r="F425" s="16" t="str">
        <f aca="false">IFERROR(INDEX('Staff Master'!$E$5:$E$24,MATCH(C425,'Staff Master'!$A$5:$A$24,0)),"")</f>
        <v>CEO</v>
      </c>
      <c r="G425" s="10" t="s">
        <v>90</v>
      </c>
      <c r="H425" s="17" t="n">
        <f aca="false">IFERROR(INDEX('Shift Master'!$C$5:$C$16,MATCH(G425,'Shift Master'!$A$5:$A$16,0)),"")</f>
        <v>0.375</v>
      </c>
      <c r="I425" s="17" t="n">
        <f aca="false">IFERROR(INDEX('Shift Master'!$D$5:$D$16,MATCH(G425,'Shift Master'!$A$5:$A$16,0)),"")</f>
        <v>0.75</v>
      </c>
      <c r="J425" s="16" t="n">
        <f aca="false">IFERROR(INDEX('Shift Master'!$E$5:$E$16,MATCH(G425,'Shift Master'!$A$5:$A$16,0)),"")</f>
        <v>60</v>
      </c>
      <c r="K425" s="16" t="n">
        <f aca="false">IFERROR(INDEX('Shift Master'!$G$5:$G$16,MATCH(G425,'Shift Master'!$A$5:$A$16,0)),0)</f>
        <v>8</v>
      </c>
      <c r="L425" s="16" t="s">
        <v>228</v>
      </c>
      <c r="M425" s="16" t="s">
        <v>229</v>
      </c>
      <c r="N425" s="16" t="str">
        <f aca="false">IF(COUNTIFS('Staffing Coverage'!$A$5:$A$12,E425,'Staffing Coverage'!$B$5:$B$12,G425)=0,"",IF(COUNTIFS($A$5:$A$10004,A425,$E$5:$E$10004,E425,$G$5:$G$10004,G425)&lt;INDEX('Staffing Coverage'!$C$5:$C$12,MATCH(1,('Staffing Coverage'!$A$5:$A$12=E425)*('Staffing Coverage'!$B$5:$B$12=G425),0)),"SHORT","OK"))</f>
        <v/>
      </c>
    </row>
    <row r="426" customFormat="false" ht="15" hidden="false" customHeight="false" outlineLevel="0" collapsed="false">
      <c r="A426" s="15" t="n">
        <v>46317</v>
      </c>
      <c r="B426" s="16" t="str">
        <f aca="false">TEXT(A426,"ddd")</f>
        <v>Thu</v>
      </c>
      <c r="C426" s="10" t="s">
        <v>137</v>
      </c>
      <c r="D426" s="16" t="str">
        <f aca="false">IFERROR(INDEX('Staff Master'!$B$5:$B$24,MATCH(C426,'Staff Master'!$A$5:$A$24,0)),"")</f>
        <v>Dr. Sara Haddad</v>
      </c>
      <c r="E426" s="16" t="str">
        <f aca="false">IFERROR(INDEX('Staff Master'!$D$5:$D$24,MATCH(C426,'Staff Master'!$A$5:$A$24,0)),"")</f>
        <v>General Practice</v>
      </c>
      <c r="F426" s="16" t="str">
        <f aca="false">IFERROR(INDEX('Staff Master'!$E$5:$E$24,MATCH(C426,'Staff Master'!$A$5:$A$24,0)),"")</f>
        <v>Medical Director</v>
      </c>
      <c r="G426" s="10" t="s">
        <v>96</v>
      </c>
      <c r="H426" s="17" t="n">
        <f aca="false">IFERROR(INDEX('Shift Master'!$C$5:$C$16,MATCH(G426,'Shift Master'!$A$5:$A$16,0)),"")</f>
        <v>0.375</v>
      </c>
      <c r="I426" s="17" t="n">
        <f aca="false">IFERROR(INDEX('Shift Master'!$D$5:$D$16,MATCH(G426,'Shift Master'!$A$5:$A$16,0)),"")</f>
        <v>0.708333333333333</v>
      </c>
      <c r="J426" s="16" t="n">
        <f aca="false">IFERROR(INDEX('Shift Master'!$E$5:$E$16,MATCH(G426,'Shift Master'!$A$5:$A$16,0)),"")</f>
        <v>60</v>
      </c>
      <c r="K426" s="16" t="n">
        <f aca="false">IFERROR(INDEX('Shift Master'!$G$5:$G$16,MATCH(G426,'Shift Master'!$A$5:$A$16,0)),0)</f>
        <v>7</v>
      </c>
      <c r="L426" s="16" t="s">
        <v>228</v>
      </c>
      <c r="M426" s="16" t="s">
        <v>229</v>
      </c>
      <c r="N426" s="16" t="str">
        <f aca="false">IF(COUNTIFS('Staffing Coverage'!$A$5:$A$12,E426,'Staffing Coverage'!$B$5:$B$12,G426)=0,"",IF(COUNTIFS($A$5:$A$10004,A426,$E$5:$E$10004,E426,$G$5:$G$10004,G426)&lt;INDEX('Staffing Coverage'!$C$5:$C$12,MATCH(1,('Staffing Coverage'!$A$5:$A$12=E426)*('Staffing Coverage'!$B$5:$B$12=G426),0)),"SHORT","OK"))</f>
        <v/>
      </c>
    </row>
    <row r="427" customFormat="false" ht="15" hidden="false" customHeight="false" outlineLevel="0" collapsed="false">
      <c r="A427" s="15" t="n">
        <v>46317</v>
      </c>
      <c r="B427" s="16" t="str">
        <f aca="false">TEXT(A427,"ddd")</f>
        <v>Thu</v>
      </c>
      <c r="C427" s="10" t="s">
        <v>142</v>
      </c>
      <c r="D427" s="16" t="str">
        <f aca="false">IFERROR(INDEX('Staff Master'!$B$5:$B$24,MATCH(C427,'Staff Master'!$A$5:$A$24,0)),"")</f>
        <v>Dr. Omar Khalil</v>
      </c>
      <c r="E427" s="16" t="str">
        <f aca="false">IFERROR(INDEX('Staff Master'!$D$5:$D$24,MATCH(C427,'Staff Master'!$A$5:$A$24,0)),"")</f>
        <v>General Practice</v>
      </c>
      <c r="F427" s="16" t="str">
        <f aca="false">IFERROR(INDEX('Staff Master'!$E$5:$E$24,MATCH(C427,'Staff Master'!$A$5:$A$24,0)),"")</f>
        <v>Doctor</v>
      </c>
      <c r="G427" s="10" t="s">
        <v>96</v>
      </c>
      <c r="H427" s="17" t="n">
        <f aca="false">IFERROR(INDEX('Shift Master'!$C$5:$C$16,MATCH(G427,'Shift Master'!$A$5:$A$16,0)),"")</f>
        <v>0.375</v>
      </c>
      <c r="I427" s="17" t="n">
        <f aca="false">IFERROR(INDEX('Shift Master'!$D$5:$D$16,MATCH(G427,'Shift Master'!$A$5:$A$16,0)),"")</f>
        <v>0.708333333333333</v>
      </c>
      <c r="J427" s="16" t="n">
        <f aca="false">IFERROR(INDEX('Shift Master'!$E$5:$E$16,MATCH(G427,'Shift Master'!$A$5:$A$16,0)),"")</f>
        <v>60</v>
      </c>
      <c r="K427" s="16" t="n">
        <f aca="false">IFERROR(INDEX('Shift Master'!$G$5:$G$16,MATCH(G427,'Shift Master'!$A$5:$A$16,0)),0)</f>
        <v>7</v>
      </c>
      <c r="L427" s="16" t="s">
        <v>228</v>
      </c>
      <c r="M427" s="16" t="s">
        <v>229</v>
      </c>
      <c r="N427" s="16" t="str">
        <f aca="false">IF(COUNTIFS('Staffing Coverage'!$A$5:$A$12,E427,'Staffing Coverage'!$B$5:$B$12,G427)=0,"",IF(COUNTIFS($A$5:$A$10004,A427,$E$5:$E$10004,E427,$G$5:$G$10004,G427)&lt;INDEX('Staffing Coverage'!$C$5:$C$12,MATCH(1,('Staffing Coverage'!$A$5:$A$12=E427)*('Staffing Coverage'!$B$5:$B$12=G427),0)),"SHORT","OK"))</f>
        <v/>
      </c>
    </row>
    <row r="428" customFormat="false" ht="15" hidden="false" customHeight="false" outlineLevel="0" collapsed="false">
      <c r="A428" s="15" t="n">
        <v>46317</v>
      </c>
      <c r="B428" s="16" t="str">
        <f aca="false">TEXT(A428,"ddd")</f>
        <v>Thu</v>
      </c>
      <c r="C428" s="10" t="s">
        <v>146</v>
      </c>
      <c r="D428" s="16" t="str">
        <f aca="false">IFERROR(INDEX('Staff Master'!$B$5:$B$24,MATCH(C428,'Staff Master'!$A$5:$A$24,0)),"")</f>
        <v>Dr. Lina Abboud</v>
      </c>
      <c r="E428" s="16" t="str">
        <f aca="false">IFERROR(INDEX('Staff Master'!$D$5:$D$24,MATCH(C428,'Staff Master'!$A$5:$A$24,0)),"")</f>
        <v>Dental</v>
      </c>
      <c r="F428" s="16" t="str">
        <f aca="false">IFERROR(INDEX('Staff Master'!$E$5:$E$24,MATCH(C428,'Staff Master'!$A$5:$A$24,0)),"")</f>
        <v>Dentist</v>
      </c>
      <c r="G428" s="10" t="s">
        <v>96</v>
      </c>
      <c r="H428" s="17" t="n">
        <f aca="false">IFERROR(INDEX('Shift Master'!$C$5:$C$16,MATCH(G428,'Shift Master'!$A$5:$A$16,0)),"")</f>
        <v>0.375</v>
      </c>
      <c r="I428" s="17" t="n">
        <f aca="false">IFERROR(INDEX('Shift Master'!$D$5:$D$16,MATCH(G428,'Shift Master'!$A$5:$A$16,0)),"")</f>
        <v>0.708333333333333</v>
      </c>
      <c r="J428" s="16" t="n">
        <f aca="false">IFERROR(INDEX('Shift Master'!$E$5:$E$16,MATCH(G428,'Shift Master'!$A$5:$A$16,0)),"")</f>
        <v>60</v>
      </c>
      <c r="K428" s="16" t="n">
        <f aca="false">IFERROR(INDEX('Shift Master'!$G$5:$G$16,MATCH(G428,'Shift Master'!$A$5:$A$16,0)),0)</f>
        <v>7</v>
      </c>
      <c r="L428" s="16" t="s">
        <v>228</v>
      </c>
      <c r="M428" s="16" t="s">
        <v>229</v>
      </c>
      <c r="N428" s="16" t="str">
        <f aca="false">IF(COUNTIFS('Staffing Coverage'!$A$5:$A$12,E428,'Staffing Coverage'!$B$5:$B$12,G428)=0,"",IF(COUNTIFS($A$5:$A$10004,A428,$E$5:$E$10004,E428,$G$5:$G$10004,G428)&lt;INDEX('Staffing Coverage'!$C$5:$C$12,MATCH(1,('Staffing Coverage'!$A$5:$A$12=E428)*('Staffing Coverage'!$B$5:$B$12=G428),0)),"SHORT","OK"))</f>
        <v/>
      </c>
    </row>
    <row r="429" customFormat="false" ht="15" hidden="false" customHeight="false" outlineLevel="0" collapsed="false">
      <c r="A429" s="15" t="n">
        <v>46317</v>
      </c>
      <c r="B429" s="16" t="str">
        <f aca="false">TEXT(A429,"ddd")</f>
        <v>Thu</v>
      </c>
      <c r="C429" s="10" t="s">
        <v>150</v>
      </c>
      <c r="D429" s="16" t="str">
        <f aca="false">IFERROR(INDEX('Staff Master'!$B$5:$B$24,MATCH(C429,'Staff Master'!$A$5:$A$24,0)),"")</f>
        <v>Dr. Farah Idris</v>
      </c>
      <c r="E429" s="16" t="str">
        <f aca="false">IFERROR(INDEX('Staff Master'!$D$5:$D$24,MATCH(C429,'Staff Master'!$A$5:$A$24,0)),"")</f>
        <v>Dental</v>
      </c>
      <c r="F429" s="16" t="str">
        <f aca="false">IFERROR(INDEX('Staff Master'!$E$5:$E$24,MATCH(C429,'Staff Master'!$A$5:$A$24,0)),"")</f>
        <v>Dentist</v>
      </c>
      <c r="G429" s="10" t="s">
        <v>96</v>
      </c>
      <c r="H429" s="17" t="n">
        <f aca="false">IFERROR(INDEX('Shift Master'!$C$5:$C$16,MATCH(G429,'Shift Master'!$A$5:$A$16,0)),"")</f>
        <v>0.375</v>
      </c>
      <c r="I429" s="17" t="n">
        <f aca="false">IFERROR(INDEX('Shift Master'!$D$5:$D$16,MATCH(G429,'Shift Master'!$A$5:$A$16,0)),"")</f>
        <v>0.708333333333333</v>
      </c>
      <c r="J429" s="16" t="n">
        <f aca="false">IFERROR(INDEX('Shift Master'!$E$5:$E$16,MATCH(G429,'Shift Master'!$A$5:$A$16,0)),"")</f>
        <v>60</v>
      </c>
      <c r="K429" s="16" t="n">
        <f aca="false">IFERROR(INDEX('Shift Master'!$G$5:$G$16,MATCH(G429,'Shift Master'!$A$5:$A$16,0)),0)</f>
        <v>7</v>
      </c>
      <c r="L429" s="16" t="s">
        <v>228</v>
      </c>
      <c r="M429" s="16" t="s">
        <v>229</v>
      </c>
      <c r="N429" s="16" t="str">
        <f aca="false">IF(COUNTIFS('Staffing Coverage'!$A$5:$A$12,E429,'Staffing Coverage'!$B$5:$B$12,G429)=0,"",IF(COUNTIFS($A$5:$A$10004,A429,$E$5:$E$10004,E429,$G$5:$G$10004,G429)&lt;INDEX('Staffing Coverage'!$C$5:$C$12,MATCH(1,('Staffing Coverage'!$A$5:$A$12=E429)*('Staffing Coverage'!$B$5:$B$12=G429),0)),"SHORT","OK"))</f>
        <v/>
      </c>
    </row>
    <row r="430" customFormat="false" ht="15" hidden="false" customHeight="false" outlineLevel="0" collapsed="false">
      <c r="A430" s="15" t="n">
        <v>46317</v>
      </c>
      <c r="B430" s="16" t="str">
        <f aca="false">TEXT(A430,"ddd")</f>
        <v>Thu</v>
      </c>
      <c r="C430" s="10" t="s">
        <v>157</v>
      </c>
      <c r="D430" s="16" t="str">
        <f aca="false">IFERROR(INDEX('Staff Master'!$B$5:$B$24,MATCH(C430,'Staff Master'!$A$5:$A$24,0)),"")</f>
        <v>Dr. Youssef Nassar</v>
      </c>
      <c r="E430" s="16" t="str">
        <f aca="false">IFERROR(INDEX('Staff Master'!$D$5:$D$24,MATCH(C430,'Staff Master'!$A$5:$A$24,0)),"")</f>
        <v>General Practice</v>
      </c>
      <c r="F430" s="16" t="str">
        <f aca="false">IFERROR(INDEX('Staff Master'!$E$5:$E$24,MATCH(C430,'Staff Master'!$A$5:$A$24,0)),"")</f>
        <v>General Practitioner</v>
      </c>
      <c r="G430" s="10" t="s">
        <v>96</v>
      </c>
      <c r="H430" s="17" t="n">
        <f aca="false">IFERROR(INDEX('Shift Master'!$C$5:$C$16,MATCH(G430,'Shift Master'!$A$5:$A$16,0)),"")</f>
        <v>0.375</v>
      </c>
      <c r="I430" s="17" t="n">
        <f aca="false">IFERROR(INDEX('Shift Master'!$D$5:$D$16,MATCH(G430,'Shift Master'!$A$5:$A$16,0)),"")</f>
        <v>0.708333333333333</v>
      </c>
      <c r="J430" s="16" t="n">
        <f aca="false">IFERROR(INDEX('Shift Master'!$E$5:$E$16,MATCH(G430,'Shift Master'!$A$5:$A$16,0)),"")</f>
        <v>60</v>
      </c>
      <c r="K430" s="16" t="n">
        <f aca="false">IFERROR(INDEX('Shift Master'!$G$5:$G$16,MATCH(G430,'Shift Master'!$A$5:$A$16,0)),0)</f>
        <v>7</v>
      </c>
      <c r="L430" s="16" t="s">
        <v>228</v>
      </c>
      <c r="M430" s="16" t="s">
        <v>229</v>
      </c>
      <c r="N430" s="16" t="str">
        <f aca="false">IF(COUNTIFS('Staffing Coverage'!$A$5:$A$12,E430,'Staffing Coverage'!$B$5:$B$12,G430)=0,"",IF(COUNTIFS($A$5:$A$10004,A430,$E$5:$E$10004,E430,$G$5:$G$10004,G430)&lt;INDEX('Staffing Coverage'!$C$5:$C$12,MATCH(1,('Staffing Coverage'!$A$5:$A$12=E430)*('Staffing Coverage'!$B$5:$B$12=G430),0)),"SHORT","OK"))</f>
        <v/>
      </c>
    </row>
    <row r="431" customFormat="false" ht="15" hidden="false" customHeight="false" outlineLevel="0" collapsed="false">
      <c r="A431" s="15" t="n">
        <v>46317</v>
      </c>
      <c r="B431" s="16" t="str">
        <f aca="false">TEXT(A431,"ddd")</f>
        <v>Thu</v>
      </c>
      <c r="C431" s="10" t="s">
        <v>161</v>
      </c>
      <c r="D431" s="16" t="str">
        <f aca="false">IFERROR(INDEX('Staff Master'!$B$5:$B$24,MATCH(C431,'Staff Master'!$A$5:$A$24,0)),"")</f>
        <v>Grace Fernandez</v>
      </c>
      <c r="E431" s="16" t="str">
        <f aca="false">IFERROR(INDEX('Staff Master'!$D$5:$D$24,MATCH(C431,'Staff Master'!$A$5:$A$24,0)),"")</f>
        <v>Nursing</v>
      </c>
      <c r="F431" s="16" t="str">
        <f aca="false">IFERROR(INDEX('Staff Master'!$E$5:$E$24,MATCH(C431,'Staff Master'!$A$5:$A$24,0)),"")</f>
        <v>Nurse</v>
      </c>
      <c r="G431" s="10" t="s">
        <v>87</v>
      </c>
      <c r="H431" s="17" t="n">
        <f aca="false">IFERROR(INDEX('Shift Master'!$C$5:$C$16,MATCH(G431,'Shift Master'!$A$5:$A$16,0)),"")</f>
        <v>0.333333333333333</v>
      </c>
      <c r="I431" s="17" t="n">
        <f aca="false">IFERROR(INDEX('Shift Master'!$D$5:$D$16,MATCH(G431,'Shift Master'!$A$5:$A$16,0)),"")</f>
        <v>0.708333333333333</v>
      </c>
      <c r="J431" s="16" t="n">
        <f aca="false">IFERROR(INDEX('Shift Master'!$E$5:$E$16,MATCH(G431,'Shift Master'!$A$5:$A$16,0)),"")</f>
        <v>60</v>
      </c>
      <c r="K431" s="16" t="n">
        <f aca="false">IFERROR(INDEX('Shift Master'!$G$5:$G$16,MATCH(G431,'Shift Master'!$A$5:$A$16,0)),0)</f>
        <v>8</v>
      </c>
      <c r="L431" s="16" t="s">
        <v>228</v>
      </c>
      <c r="M431" s="16" t="s">
        <v>229</v>
      </c>
      <c r="N431" s="16" t="str">
        <f aca="false">IF(COUNTIFS('Staffing Coverage'!$A$5:$A$12,E431,'Staffing Coverage'!$B$5:$B$12,G431)=0,"",IF(COUNTIFS($A$5:$A$10004,A431,$E$5:$E$10004,E431,$G$5:$G$10004,G431)&lt;INDEX('Staffing Coverage'!$C$5:$C$12,MATCH(1,('Staffing Coverage'!$A$5:$A$12=E431)*('Staffing Coverage'!$B$5:$B$12=G431),0)),"SHORT","OK"))</f>
        <v>OK</v>
      </c>
    </row>
    <row r="432" customFormat="false" ht="15" hidden="false" customHeight="false" outlineLevel="0" collapsed="false">
      <c r="A432" s="15" t="n">
        <v>46317</v>
      </c>
      <c r="B432" s="16" t="str">
        <f aca="false">TEXT(A432,"ddd")</f>
        <v>Thu</v>
      </c>
      <c r="C432" s="10" t="s">
        <v>165</v>
      </c>
      <c r="D432" s="16" t="str">
        <f aca="false">IFERROR(INDEX('Staff Master'!$B$5:$B$24,MATCH(C432,'Staff Master'!$A$5:$A$24,0)),"")</f>
        <v>Priya Nair</v>
      </c>
      <c r="E432" s="16" t="str">
        <f aca="false">IFERROR(INDEX('Staff Master'!$D$5:$D$24,MATCH(C432,'Staff Master'!$A$5:$A$24,0)),"")</f>
        <v>Nursing</v>
      </c>
      <c r="F432" s="16" t="str">
        <f aca="false">IFERROR(INDEX('Staff Master'!$E$5:$E$24,MATCH(C432,'Staff Master'!$A$5:$A$24,0)),"")</f>
        <v>Nurse</v>
      </c>
      <c r="G432" s="10" t="s">
        <v>90</v>
      </c>
      <c r="H432" s="17" t="n">
        <f aca="false">IFERROR(INDEX('Shift Master'!$C$5:$C$16,MATCH(G432,'Shift Master'!$A$5:$A$16,0)),"")</f>
        <v>0.375</v>
      </c>
      <c r="I432" s="17" t="n">
        <f aca="false">IFERROR(INDEX('Shift Master'!$D$5:$D$16,MATCH(G432,'Shift Master'!$A$5:$A$16,0)),"")</f>
        <v>0.75</v>
      </c>
      <c r="J432" s="16" t="n">
        <f aca="false">IFERROR(INDEX('Shift Master'!$E$5:$E$16,MATCH(G432,'Shift Master'!$A$5:$A$16,0)),"")</f>
        <v>60</v>
      </c>
      <c r="K432" s="16" t="n">
        <f aca="false">IFERROR(INDEX('Shift Master'!$G$5:$G$16,MATCH(G432,'Shift Master'!$A$5:$A$16,0)),0)</f>
        <v>8</v>
      </c>
      <c r="L432" s="16" t="s">
        <v>228</v>
      </c>
      <c r="M432" s="16" t="s">
        <v>229</v>
      </c>
      <c r="N432" s="16" t="str">
        <f aca="false">IF(COUNTIFS('Staffing Coverage'!$A$5:$A$12,E432,'Staffing Coverage'!$B$5:$B$12,G432)=0,"",IF(COUNTIFS($A$5:$A$10004,A432,$E$5:$E$10004,E432,$G$5:$G$10004,G432)&lt;INDEX('Staffing Coverage'!$C$5:$C$12,MATCH(1,('Staffing Coverage'!$A$5:$A$12=E432)*('Staffing Coverage'!$B$5:$B$12=G432),0)),"SHORT","OK"))</f>
        <v>OK</v>
      </c>
    </row>
    <row r="433" customFormat="false" ht="15" hidden="false" customHeight="false" outlineLevel="0" collapsed="false">
      <c r="A433" s="15" t="n">
        <v>46317</v>
      </c>
      <c r="B433" s="16" t="str">
        <f aca="false">TEXT(A433,"ddd")</f>
        <v>Thu</v>
      </c>
      <c r="C433" s="10" t="s">
        <v>170</v>
      </c>
      <c r="D433" s="16" t="str">
        <f aca="false">IFERROR(INDEX('Staff Master'!$B$5:$B$24,MATCH(C433,'Staff Master'!$A$5:$A$24,0)),"")</f>
        <v>Maria Santos</v>
      </c>
      <c r="E433" s="16" t="str">
        <f aca="false">IFERROR(INDEX('Staff Master'!$D$5:$D$24,MATCH(C433,'Staff Master'!$A$5:$A$24,0)),"")</f>
        <v>Nursing</v>
      </c>
      <c r="F433" s="16" t="str">
        <f aca="false">IFERROR(INDEX('Staff Master'!$E$5:$E$24,MATCH(C433,'Staff Master'!$A$5:$A$24,0)),"")</f>
        <v>Nurse</v>
      </c>
      <c r="G433" s="10" t="s">
        <v>94</v>
      </c>
      <c r="H433" s="17" t="n">
        <f aca="false">IFERROR(INDEX('Shift Master'!$C$5:$C$16,MATCH(G433,'Shift Master'!$A$5:$A$16,0)),"")</f>
        <v>0.541666666666667</v>
      </c>
      <c r="I433" s="17" t="n">
        <f aca="false">IFERROR(INDEX('Shift Master'!$D$5:$D$16,MATCH(G433,'Shift Master'!$A$5:$A$16,0)),"")</f>
        <v>0.916666666666667</v>
      </c>
      <c r="J433" s="16" t="n">
        <f aca="false">IFERROR(INDEX('Shift Master'!$E$5:$E$16,MATCH(G433,'Shift Master'!$A$5:$A$16,0)),"")</f>
        <v>60</v>
      </c>
      <c r="K433" s="16" t="n">
        <f aca="false">IFERROR(INDEX('Shift Master'!$G$5:$G$16,MATCH(G433,'Shift Master'!$A$5:$A$16,0)),0)</f>
        <v>8</v>
      </c>
      <c r="L433" s="16" t="s">
        <v>228</v>
      </c>
      <c r="M433" s="16" t="s">
        <v>229</v>
      </c>
      <c r="N433" s="16" t="str">
        <f aca="false">IF(COUNTIFS('Staffing Coverage'!$A$5:$A$12,E433,'Staffing Coverage'!$B$5:$B$12,G433)=0,"",IF(COUNTIFS($A$5:$A$10004,A433,$E$5:$E$10004,E433,$G$5:$G$10004,G433)&lt;INDEX('Staffing Coverage'!$C$5:$C$12,MATCH(1,('Staffing Coverage'!$A$5:$A$12=E433)*('Staffing Coverage'!$B$5:$B$12=G433),0)),"SHORT","OK"))</f>
        <v/>
      </c>
    </row>
    <row r="434" customFormat="false" ht="15" hidden="false" customHeight="false" outlineLevel="0" collapsed="false">
      <c r="A434" s="15" t="n">
        <v>46317</v>
      </c>
      <c r="B434" s="16" t="str">
        <f aca="false">TEXT(A434,"ddd")</f>
        <v>Thu</v>
      </c>
      <c r="C434" s="10" t="s">
        <v>174</v>
      </c>
      <c r="D434" s="16" t="str">
        <f aca="false">IFERROR(INDEX('Staff Master'!$B$5:$B$24,MATCH(C434,'Staff Master'!$A$5:$A$24,0)),"")</f>
        <v>Aisha Al Shamsi</v>
      </c>
      <c r="E434" s="16" t="str">
        <f aca="false">IFERROR(INDEX('Staff Master'!$D$5:$D$24,MATCH(C434,'Staff Master'!$A$5:$A$24,0)),"")</f>
        <v>Reception</v>
      </c>
      <c r="F434" s="16" t="str">
        <f aca="false">IFERROR(INDEX('Staff Master'!$E$5:$E$24,MATCH(C434,'Staff Master'!$A$5:$A$24,0)),"")</f>
        <v>Receptionist</v>
      </c>
      <c r="G434" s="10" t="s">
        <v>87</v>
      </c>
      <c r="H434" s="17" t="n">
        <f aca="false">IFERROR(INDEX('Shift Master'!$C$5:$C$16,MATCH(G434,'Shift Master'!$A$5:$A$16,0)),"")</f>
        <v>0.333333333333333</v>
      </c>
      <c r="I434" s="17" t="n">
        <f aca="false">IFERROR(INDEX('Shift Master'!$D$5:$D$16,MATCH(G434,'Shift Master'!$A$5:$A$16,0)),"")</f>
        <v>0.708333333333333</v>
      </c>
      <c r="J434" s="16" t="n">
        <f aca="false">IFERROR(INDEX('Shift Master'!$E$5:$E$16,MATCH(G434,'Shift Master'!$A$5:$A$16,0)),"")</f>
        <v>60</v>
      </c>
      <c r="K434" s="16" t="n">
        <f aca="false">IFERROR(INDEX('Shift Master'!$G$5:$G$16,MATCH(G434,'Shift Master'!$A$5:$A$16,0)),0)</f>
        <v>8</v>
      </c>
      <c r="L434" s="16" t="s">
        <v>228</v>
      </c>
      <c r="M434" s="16" t="s">
        <v>229</v>
      </c>
      <c r="N434" s="16" t="str">
        <f aca="false">IF(COUNTIFS('Staffing Coverage'!$A$5:$A$12,E434,'Staffing Coverage'!$B$5:$B$12,G434)=0,"",IF(COUNTIFS($A$5:$A$10004,A434,$E$5:$E$10004,E434,$G$5:$G$10004,G434)&lt;INDEX('Staffing Coverage'!$C$5:$C$12,MATCH(1,('Staffing Coverage'!$A$5:$A$12=E434)*('Staffing Coverage'!$B$5:$B$12=G434),0)),"SHORT","OK"))</f>
        <v>SHORT</v>
      </c>
    </row>
    <row r="435" customFormat="false" ht="15" hidden="false" customHeight="false" outlineLevel="0" collapsed="false">
      <c r="A435" s="15" t="n">
        <v>46317</v>
      </c>
      <c r="B435" s="16" t="str">
        <f aca="false">TEXT(A435,"ddd")</f>
        <v>Thu</v>
      </c>
      <c r="C435" s="10" t="s">
        <v>179</v>
      </c>
      <c r="D435" s="16" t="str">
        <f aca="false">IFERROR(INDEX('Staff Master'!$B$5:$B$24,MATCH(C435,'Staff Master'!$A$5:$A$24,0)),"")</f>
        <v>John Dsouza</v>
      </c>
      <c r="E435" s="16" t="str">
        <f aca="false">IFERROR(INDEX('Staff Master'!$D$5:$D$24,MATCH(C435,'Staff Master'!$A$5:$A$24,0)),"")</f>
        <v>Reception</v>
      </c>
      <c r="F435" s="16" t="str">
        <f aca="false">IFERROR(INDEX('Staff Master'!$E$5:$E$24,MATCH(C435,'Staff Master'!$A$5:$A$24,0)),"")</f>
        <v>Receptionist</v>
      </c>
      <c r="G435" s="10" t="s">
        <v>90</v>
      </c>
      <c r="H435" s="17" t="n">
        <f aca="false">IFERROR(INDEX('Shift Master'!$C$5:$C$16,MATCH(G435,'Shift Master'!$A$5:$A$16,0)),"")</f>
        <v>0.375</v>
      </c>
      <c r="I435" s="17" t="n">
        <f aca="false">IFERROR(INDEX('Shift Master'!$D$5:$D$16,MATCH(G435,'Shift Master'!$A$5:$A$16,0)),"")</f>
        <v>0.75</v>
      </c>
      <c r="J435" s="16" t="n">
        <f aca="false">IFERROR(INDEX('Shift Master'!$E$5:$E$16,MATCH(G435,'Shift Master'!$A$5:$A$16,0)),"")</f>
        <v>60</v>
      </c>
      <c r="K435" s="16" t="n">
        <f aca="false">IFERROR(INDEX('Shift Master'!$G$5:$G$16,MATCH(G435,'Shift Master'!$A$5:$A$16,0)),0)</f>
        <v>8</v>
      </c>
      <c r="L435" s="16" t="s">
        <v>228</v>
      </c>
      <c r="M435" s="16" t="s">
        <v>229</v>
      </c>
      <c r="N435" s="16" t="str">
        <f aca="false">IF(COUNTIFS('Staffing Coverage'!$A$5:$A$12,E435,'Staffing Coverage'!$B$5:$B$12,G435)=0,"",IF(COUNTIFS($A$5:$A$10004,A435,$E$5:$E$10004,E435,$G$5:$G$10004,G435)&lt;INDEX('Staffing Coverage'!$C$5:$C$12,MATCH(1,('Staffing Coverage'!$A$5:$A$12=E435)*('Staffing Coverage'!$B$5:$B$12=G435),0)),"SHORT","OK"))</f>
        <v>SHORT</v>
      </c>
    </row>
    <row r="436" customFormat="false" ht="15" hidden="false" customHeight="false" outlineLevel="0" collapsed="false">
      <c r="A436" s="15" t="n">
        <v>46317</v>
      </c>
      <c r="B436" s="16" t="str">
        <f aca="false">TEXT(A436,"ddd")</f>
        <v>Thu</v>
      </c>
      <c r="C436" s="10" t="s">
        <v>184</v>
      </c>
      <c r="D436" s="16" t="str">
        <f aca="false">IFERROR(INDEX('Staff Master'!$B$5:$B$24,MATCH(C436,'Staff Master'!$A$5:$A$24,0)),"")</f>
        <v>Fatima Zahra</v>
      </c>
      <c r="E436" s="16" t="str">
        <f aca="false">IFERROR(INDEX('Staff Master'!$D$5:$D$24,MATCH(C436,'Staff Master'!$A$5:$A$24,0)),"")</f>
        <v>Reception</v>
      </c>
      <c r="F436" s="16" t="str">
        <f aca="false">IFERROR(INDEX('Staff Master'!$E$5:$E$24,MATCH(C436,'Staff Master'!$A$5:$A$24,0)),"")</f>
        <v>Receptionist</v>
      </c>
      <c r="G436" s="10" t="s">
        <v>94</v>
      </c>
      <c r="H436" s="17" t="n">
        <f aca="false">IFERROR(INDEX('Shift Master'!$C$5:$C$16,MATCH(G436,'Shift Master'!$A$5:$A$16,0)),"")</f>
        <v>0.541666666666667</v>
      </c>
      <c r="I436" s="17" t="n">
        <f aca="false">IFERROR(INDEX('Shift Master'!$D$5:$D$16,MATCH(G436,'Shift Master'!$A$5:$A$16,0)),"")</f>
        <v>0.916666666666667</v>
      </c>
      <c r="J436" s="16" t="n">
        <f aca="false">IFERROR(INDEX('Shift Master'!$E$5:$E$16,MATCH(G436,'Shift Master'!$A$5:$A$16,0)),"")</f>
        <v>60</v>
      </c>
      <c r="K436" s="16" t="n">
        <f aca="false">IFERROR(INDEX('Shift Master'!$G$5:$G$16,MATCH(G436,'Shift Master'!$A$5:$A$16,0)),0)</f>
        <v>8</v>
      </c>
      <c r="L436" s="16" t="s">
        <v>228</v>
      </c>
      <c r="M436" s="16" t="s">
        <v>229</v>
      </c>
      <c r="N436" s="16" t="str">
        <f aca="false">IF(COUNTIFS('Staffing Coverage'!$A$5:$A$12,E436,'Staffing Coverage'!$B$5:$B$12,G436)=0,"",IF(COUNTIFS($A$5:$A$10004,A436,$E$5:$E$10004,E436,$G$5:$G$10004,G436)&lt;INDEX('Staffing Coverage'!$C$5:$C$12,MATCH(1,('Staffing Coverage'!$A$5:$A$12=E436)*('Staffing Coverage'!$B$5:$B$12=G436),0)),"SHORT","OK"))</f>
        <v>OK</v>
      </c>
    </row>
    <row r="437" customFormat="false" ht="15" hidden="false" customHeight="false" outlineLevel="0" collapsed="false">
      <c r="A437" s="15" t="n">
        <v>46317</v>
      </c>
      <c r="B437" s="16" t="str">
        <f aca="false">TEXT(A437,"ddd")</f>
        <v>Thu</v>
      </c>
      <c r="C437" s="10" t="s">
        <v>188</v>
      </c>
      <c r="D437" s="16" t="str">
        <f aca="false">IFERROR(INDEX('Staff Master'!$B$5:$B$24,MATCH(C437,'Staff Master'!$A$5:$A$24,0)),"")</f>
        <v>Ana Reyes</v>
      </c>
      <c r="E437" s="16" t="str">
        <f aca="false">IFERROR(INDEX('Staff Master'!$D$5:$D$24,MATCH(C437,'Staff Master'!$A$5:$A$24,0)),"")</f>
        <v>Dental</v>
      </c>
      <c r="F437" s="16" t="str">
        <f aca="false">IFERROR(INDEX('Staff Master'!$E$5:$E$24,MATCH(C437,'Staff Master'!$A$5:$A$24,0)),"")</f>
        <v>Dental Assistant</v>
      </c>
      <c r="G437" s="10" t="s">
        <v>87</v>
      </c>
      <c r="H437" s="17" t="n">
        <f aca="false">IFERROR(INDEX('Shift Master'!$C$5:$C$16,MATCH(G437,'Shift Master'!$A$5:$A$16,0)),"")</f>
        <v>0.333333333333333</v>
      </c>
      <c r="I437" s="17" t="n">
        <f aca="false">IFERROR(INDEX('Shift Master'!$D$5:$D$16,MATCH(G437,'Shift Master'!$A$5:$A$16,0)),"")</f>
        <v>0.708333333333333</v>
      </c>
      <c r="J437" s="16" t="n">
        <f aca="false">IFERROR(INDEX('Shift Master'!$E$5:$E$16,MATCH(G437,'Shift Master'!$A$5:$A$16,0)),"")</f>
        <v>60</v>
      </c>
      <c r="K437" s="16" t="n">
        <f aca="false">IFERROR(INDEX('Shift Master'!$G$5:$G$16,MATCH(G437,'Shift Master'!$A$5:$A$16,0)),0)</f>
        <v>8</v>
      </c>
      <c r="L437" s="16" t="s">
        <v>228</v>
      </c>
      <c r="M437" s="16" t="s">
        <v>229</v>
      </c>
      <c r="N437" s="16" t="str">
        <f aca="false">IF(COUNTIFS('Staffing Coverage'!$A$5:$A$12,E437,'Staffing Coverage'!$B$5:$B$12,G437)=0,"",IF(COUNTIFS($A$5:$A$10004,A437,$E$5:$E$10004,E437,$G$5:$G$10004,G437)&lt;INDEX('Staffing Coverage'!$C$5:$C$12,MATCH(1,('Staffing Coverage'!$A$5:$A$12=E437)*('Staffing Coverage'!$B$5:$B$12=G437),0)),"SHORT","OK"))</f>
        <v>OK</v>
      </c>
    </row>
    <row r="438" customFormat="false" ht="15" hidden="false" customHeight="false" outlineLevel="0" collapsed="false">
      <c r="A438" s="15" t="n">
        <v>46317</v>
      </c>
      <c r="B438" s="16" t="str">
        <f aca="false">TEXT(A438,"ddd")</f>
        <v>Thu</v>
      </c>
      <c r="C438" s="10" t="s">
        <v>192</v>
      </c>
      <c r="D438" s="16" t="str">
        <f aca="false">IFERROR(INDEX('Staff Master'!$B$5:$B$24,MATCH(C438,'Staff Master'!$A$5:$A$24,0)),"")</f>
        <v>Noor Hassan</v>
      </c>
      <c r="E438" s="16" t="str">
        <f aca="false">IFERROR(INDEX('Staff Master'!$D$5:$D$24,MATCH(C438,'Staff Master'!$A$5:$A$24,0)),"")</f>
        <v>Dental</v>
      </c>
      <c r="F438" s="16" t="str">
        <f aca="false">IFERROR(INDEX('Staff Master'!$E$5:$E$24,MATCH(C438,'Staff Master'!$A$5:$A$24,0)),"")</f>
        <v>Dental Assistant</v>
      </c>
      <c r="G438" s="10" t="s">
        <v>90</v>
      </c>
      <c r="H438" s="17" t="n">
        <f aca="false">IFERROR(INDEX('Shift Master'!$C$5:$C$16,MATCH(G438,'Shift Master'!$A$5:$A$16,0)),"")</f>
        <v>0.375</v>
      </c>
      <c r="I438" s="17" t="n">
        <f aca="false">IFERROR(INDEX('Shift Master'!$D$5:$D$16,MATCH(G438,'Shift Master'!$A$5:$A$16,0)),"")</f>
        <v>0.75</v>
      </c>
      <c r="J438" s="16" t="n">
        <f aca="false">IFERROR(INDEX('Shift Master'!$E$5:$E$16,MATCH(G438,'Shift Master'!$A$5:$A$16,0)),"")</f>
        <v>60</v>
      </c>
      <c r="K438" s="16" t="n">
        <f aca="false">IFERROR(INDEX('Shift Master'!$G$5:$G$16,MATCH(G438,'Shift Master'!$A$5:$A$16,0)),0)</f>
        <v>8</v>
      </c>
      <c r="L438" s="16" t="s">
        <v>228</v>
      </c>
      <c r="M438" s="16" t="s">
        <v>229</v>
      </c>
      <c r="N438" s="16" t="str">
        <f aca="false">IF(COUNTIFS('Staffing Coverage'!$A$5:$A$12,E438,'Staffing Coverage'!$B$5:$B$12,G438)=0,"",IF(COUNTIFS($A$5:$A$10004,A438,$E$5:$E$10004,E438,$G$5:$G$10004,G438)&lt;INDEX('Staffing Coverage'!$C$5:$C$12,MATCH(1,('Staffing Coverage'!$A$5:$A$12=E438)*('Staffing Coverage'!$B$5:$B$12=G438),0)),"SHORT","OK"))</f>
        <v/>
      </c>
    </row>
    <row r="439" customFormat="false" ht="15" hidden="false" customHeight="false" outlineLevel="0" collapsed="false">
      <c r="A439" s="15" t="n">
        <v>46317</v>
      </c>
      <c r="B439" s="16" t="str">
        <f aca="false">TEXT(A439,"ddd")</f>
        <v>Thu</v>
      </c>
      <c r="C439" s="10" t="s">
        <v>196</v>
      </c>
      <c r="D439" s="16" t="str">
        <f aca="false">IFERROR(INDEX('Staff Master'!$B$5:$B$24,MATCH(C439,'Staff Master'!$A$5:$A$24,0)),"")</f>
        <v>Karan Mehta</v>
      </c>
      <c r="E439" s="16" t="str">
        <f aca="false">IFERROR(INDEX('Staff Master'!$D$5:$D$24,MATCH(C439,'Staff Master'!$A$5:$A$24,0)),"")</f>
        <v>Laser</v>
      </c>
      <c r="F439" s="16" t="str">
        <f aca="false">IFERROR(INDEX('Staff Master'!$E$5:$E$24,MATCH(C439,'Staff Master'!$A$5:$A$24,0)),"")</f>
        <v>Laser Technician</v>
      </c>
      <c r="G439" s="10" t="s">
        <v>90</v>
      </c>
      <c r="H439" s="17" t="n">
        <f aca="false">IFERROR(INDEX('Shift Master'!$C$5:$C$16,MATCH(G439,'Shift Master'!$A$5:$A$16,0)),"")</f>
        <v>0.375</v>
      </c>
      <c r="I439" s="17" t="n">
        <f aca="false">IFERROR(INDEX('Shift Master'!$D$5:$D$16,MATCH(G439,'Shift Master'!$A$5:$A$16,0)),"")</f>
        <v>0.75</v>
      </c>
      <c r="J439" s="16" t="n">
        <f aca="false">IFERROR(INDEX('Shift Master'!$E$5:$E$16,MATCH(G439,'Shift Master'!$A$5:$A$16,0)),"")</f>
        <v>60</v>
      </c>
      <c r="K439" s="16" t="n">
        <f aca="false">IFERROR(INDEX('Shift Master'!$G$5:$G$16,MATCH(G439,'Shift Master'!$A$5:$A$16,0)),0)</f>
        <v>8</v>
      </c>
      <c r="L439" s="16" t="s">
        <v>228</v>
      </c>
      <c r="M439" s="16" t="s">
        <v>229</v>
      </c>
      <c r="N439" s="16" t="str">
        <f aca="false">IF(COUNTIFS('Staffing Coverage'!$A$5:$A$12,E439,'Staffing Coverage'!$B$5:$B$12,G439)=0,"",IF(COUNTIFS($A$5:$A$10004,A439,$E$5:$E$10004,E439,$G$5:$G$10004,G439)&lt;INDEX('Staffing Coverage'!$C$5:$C$12,MATCH(1,('Staffing Coverage'!$A$5:$A$12=E439)*('Staffing Coverage'!$B$5:$B$12=G439),0)),"SHORT","OK"))</f>
        <v/>
      </c>
    </row>
    <row r="440" customFormat="false" ht="15" hidden="false" customHeight="false" outlineLevel="0" collapsed="false">
      <c r="A440" s="15" t="n">
        <v>46317</v>
      </c>
      <c r="B440" s="16" t="str">
        <f aca="false">TEXT(A440,"ddd")</f>
        <v>Thu</v>
      </c>
      <c r="C440" s="10" t="s">
        <v>200</v>
      </c>
      <c r="D440" s="16" t="str">
        <f aca="false">IFERROR(INDEX('Staff Master'!$B$5:$B$24,MATCH(C440,'Staff Master'!$A$5:$A$24,0)),"")</f>
        <v>Imran Sheikh</v>
      </c>
      <c r="E440" s="16" t="str">
        <f aca="false">IFERROR(INDEX('Staff Master'!$D$5:$D$24,MATCH(C440,'Staff Master'!$A$5:$A$24,0)),"")</f>
        <v>Dental Laboratory</v>
      </c>
      <c r="F440" s="16" t="str">
        <f aca="false">IFERROR(INDEX('Staff Master'!$E$5:$E$24,MATCH(C440,'Staff Master'!$A$5:$A$24,0)),"")</f>
        <v>Dental Technician</v>
      </c>
      <c r="G440" s="10" t="s">
        <v>87</v>
      </c>
      <c r="H440" s="17" t="n">
        <f aca="false">IFERROR(INDEX('Shift Master'!$C$5:$C$16,MATCH(G440,'Shift Master'!$A$5:$A$16,0)),"")</f>
        <v>0.333333333333333</v>
      </c>
      <c r="I440" s="17" t="n">
        <f aca="false">IFERROR(INDEX('Shift Master'!$D$5:$D$16,MATCH(G440,'Shift Master'!$A$5:$A$16,0)),"")</f>
        <v>0.708333333333333</v>
      </c>
      <c r="J440" s="16" t="n">
        <f aca="false">IFERROR(INDEX('Shift Master'!$E$5:$E$16,MATCH(G440,'Shift Master'!$A$5:$A$16,0)),"")</f>
        <v>60</v>
      </c>
      <c r="K440" s="16" t="n">
        <f aca="false">IFERROR(INDEX('Shift Master'!$G$5:$G$16,MATCH(G440,'Shift Master'!$A$5:$A$16,0)),0)</f>
        <v>8</v>
      </c>
      <c r="L440" s="16" t="s">
        <v>228</v>
      </c>
      <c r="M440" s="16" t="s">
        <v>229</v>
      </c>
      <c r="N440" s="16" t="str">
        <f aca="false">IF(COUNTIFS('Staffing Coverage'!$A$5:$A$12,E440,'Staffing Coverage'!$B$5:$B$12,G440)=0,"",IF(COUNTIFS($A$5:$A$10004,A440,$E$5:$E$10004,E440,$G$5:$G$10004,G440)&lt;INDEX('Staffing Coverage'!$C$5:$C$12,MATCH(1,('Staffing Coverage'!$A$5:$A$12=E440)*('Staffing Coverage'!$B$5:$B$12=G440),0)),"SHORT","OK"))</f>
        <v/>
      </c>
    </row>
    <row r="441" customFormat="false" ht="15" hidden="false" customHeight="false" outlineLevel="0" collapsed="false">
      <c r="A441" s="15" t="n">
        <v>46317</v>
      </c>
      <c r="B441" s="16" t="str">
        <f aca="false">TEXT(A441,"ddd")</f>
        <v>Thu</v>
      </c>
      <c r="C441" s="10" t="s">
        <v>204</v>
      </c>
      <c r="D441" s="16" t="str">
        <f aca="false">IFERROR(INDEX('Staff Master'!$B$5:$B$24,MATCH(C441,'Staff Master'!$A$5:$A$24,0)),"")</f>
        <v>Josephine Cruz</v>
      </c>
      <c r="E441" s="16" t="str">
        <f aca="false">IFERROR(INDEX('Staff Master'!$D$5:$D$24,MATCH(C441,'Staff Master'!$A$5:$A$24,0)),"")</f>
        <v>CSSD</v>
      </c>
      <c r="F441" s="16" t="str">
        <f aca="false">IFERROR(INDEX('Staff Master'!$E$5:$E$24,MATCH(C441,'Staff Master'!$A$5:$A$24,0)),"")</f>
        <v>CSSD Technician</v>
      </c>
      <c r="G441" s="10" t="s">
        <v>87</v>
      </c>
      <c r="H441" s="17" t="n">
        <f aca="false">IFERROR(INDEX('Shift Master'!$C$5:$C$16,MATCH(G441,'Shift Master'!$A$5:$A$16,0)),"")</f>
        <v>0.333333333333333</v>
      </c>
      <c r="I441" s="17" t="n">
        <f aca="false">IFERROR(INDEX('Shift Master'!$D$5:$D$16,MATCH(G441,'Shift Master'!$A$5:$A$16,0)),"")</f>
        <v>0.708333333333333</v>
      </c>
      <c r="J441" s="16" t="n">
        <f aca="false">IFERROR(INDEX('Shift Master'!$E$5:$E$16,MATCH(G441,'Shift Master'!$A$5:$A$16,0)),"")</f>
        <v>60</v>
      </c>
      <c r="K441" s="16" t="n">
        <f aca="false">IFERROR(INDEX('Shift Master'!$G$5:$G$16,MATCH(G441,'Shift Master'!$A$5:$A$16,0)),0)</f>
        <v>8</v>
      </c>
      <c r="L441" s="16" t="s">
        <v>228</v>
      </c>
      <c r="M441" s="16" t="s">
        <v>229</v>
      </c>
      <c r="N441" s="16" t="str">
        <f aca="false">IF(COUNTIFS('Staffing Coverage'!$A$5:$A$12,E441,'Staffing Coverage'!$B$5:$B$12,G441)=0,"",IF(COUNTIFS($A$5:$A$10004,A441,$E$5:$E$10004,E441,$G$5:$G$10004,G441)&lt;INDEX('Staffing Coverage'!$C$5:$C$12,MATCH(1,('Staffing Coverage'!$A$5:$A$12=E441)*('Staffing Coverage'!$B$5:$B$12=G441),0)),"SHORT","OK"))</f>
        <v>OK</v>
      </c>
    </row>
    <row r="442" customFormat="false" ht="15" hidden="false" customHeight="false" outlineLevel="0" collapsed="false">
      <c r="A442" s="15" t="n">
        <v>46317</v>
      </c>
      <c r="B442" s="16" t="str">
        <f aca="false">TEXT(A442,"ddd")</f>
        <v>Thu</v>
      </c>
      <c r="C442" s="10" t="s">
        <v>208</v>
      </c>
      <c r="D442" s="16" t="str">
        <f aca="false">IFERROR(INDEX('Staff Master'!$B$5:$B$24,MATCH(C442,'Staff Master'!$A$5:$A$24,0)),"")</f>
        <v>Rosalyn Tan</v>
      </c>
      <c r="E442" s="16" t="str">
        <f aca="false">IFERROR(INDEX('Staff Master'!$D$5:$D$24,MATCH(C442,'Staff Master'!$A$5:$A$24,0)),"")</f>
        <v>Cleaning</v>
      </c>
      <c r="F442" s="16" t="str">
        <f aca="false">IFERROR(INDEX('Staff Master'!$E$5:$E$24,MATCH(C442,'Staff Master'!$A$5:$A$24,0)),"")</f>
        <v>Cleaner</v>
      </c>
      <c r="G442" s="10" t="s">
        <v>87</v>
      </c>
      <c r="H442" s="17" t="n">
        <f aca="false">IFERROR(INDEX('Shift Master'!$C$5:$C$16,MATCH(G442,'Shift Master'!$A$5:$A$16,0)),"")</f>
        <v>0.333333333333333</v>
      </c>
      <c r="I442" s="17" t="n">
        <f aca="false">IFERROR(INDEX('Shift Master'!$D$5:$D$16,MATCH(G442,'Shift Master'!$A$5:$A$16,0)),"")</f>
        <v>0.708333333333333</v>
      </c>
      <c r="J442" s="16" t="n">
        <f aca="false">IFERROR(INDEX('Shift Master'!$E$5:$E$16,MATCH(G442,'Shift Master'!$A$5:$A$16,0)),"")</f>
        <v>60</v>
      </c>
      <c r="K442" s="16" t="n">
        <f aca="false">IFERROR(INDEX('Shift Master'!$G$5:$G$16,MATCH(G442,'Shift Master'!$A$5:$A$16,0)),0)</f>
        <v>8</v>
      </c>
      <c r="L442" s="16" t="s">
        <v>228</v>
      </c>
      <c r="M442" s="16" t="s">
        <v>229</v>
      </c>
      <c r="N442" s="16" t="str">
        <f aca="false">IF(COUNTIFS('Staffing Coverage'!$A$5:$A$12,E442,'Staffing Coverage'!$B$5:$B$12,G442)=0,"",IF(COUNTIFS($A$5:$A$10004,A442,$E$5:$E$10004,E442,$G$5:$G$10004,G442)&lt;INDEX('Staffing Coverage'!$C$5:$C$12,MATCH(1,('Staffing Coverage'!$A$5:$A$12=E442)*('Staffing Coverage'!$B$5:$B$12=G442),0)),"SHORT","OK"))</f>
        <v>OK</v>
      </c>
    </row>
    <row r="443" customFormat="false" ht="15" hidden="false" customHeight="false" outlineLevel="0" collapsed="false">
      <c r="A443" s="15" t="n">
        <v>46317</v>
      </c>
      <c r="B443" s="16" t="str">
        <f aca="false">TEXT(A443,"ddd")</f>
        <v>Thu</v>
      </c>
      <c r="C443" s="10" t="s">
        <v>212</v>
      </c>
      <c r="D443" s="16" t="str">
        <f aca="false">IFERROR(INDEX('Staff Master'!$B$5:$B$24,MATCH(C443,'Staff Master'!$A$5:$A$24,0)),"")</f>
        <v>Hassan Baig</v>
      </c>
      <c r="E443" s="16" t="str">
        <f aca="false">IFERROR(INDEX('Staff Master'!$D$5:$D$24,MATCH(C443,'Staff Master'!$A$5:$A$24,0)),"")</f>
        <v>Facilities</v>
      </c>
      <c r="F443" s="16" t="str">
        <f aca="false">IFERROR(INDEX('Staff Master'!$E$5:$E$24,MATCH(C443,'Staff Master'!$A$5:$A$24,0)),"")</f>
        <v>Facility Manager</v>
      </c>
      <c r="G443" s="10" t="s">
        <v>90</v>
      </c>
      <c r="H443" s="17" t="n">
        <f aca="false">IFERROR(INDEX('Shift Master'!$C$5:$C$16,MATCH(G443,'Shift Master'!$A$5:$A$16,0)),"")</f>
        <v>0.375</v>
      </c>
      <c r="I443" s="17" t="n">
        <f aca="false">IFERROR(INDEX('Shift Master'!$D$5:$D$16,MATCH(G443,'Shift Master'!$A$5:$A$16,0)),"")</f>
        <v>0.75</v>
      </c>
      <c r="J443" s="16" t="n">
        <f aca="false">IFERROR(INDEX('Shift Master'!$E$5:$E$16,MATCH(G443,'Shift Master'!$A$5:$A$16,0)),"")</f>
        <v>60</v>
      </c>
      <c r="K443" s="16" t="n">
        <f aca="false">IFERROR(INDEX('Shift Master'!$G$5:$G$16,MATCH(G443,'Shift Master'!$A$5:$A$16,0)),0)</f>
        <v>8</v>
      </c>
      <c r="L443" s="16" t="s">
        <v>228</v>
      </c>
      <c r="M443" s="16" t="s">
        <v>229</v>
      </c>
      <c r="N443" s="16" t="str">
        <f aca="false">IF(COUNTIFS('Staffing Coverage'!$A$5:$A$12,E443,'Staffing Coverage'!$B$5:$B$12,G443)=0,"",IF(COUNTIFS($A$5:$A$10004,A443,$E$5:$E$10004,E443,$G$5:$G$10004,G443)&lt;INDEX('Staffing Coverage'!$C$5:$C$12,MATCH(1,('Staffing Coverage'!$A$5:$A$12=E443)*('Staffing Coverage'!$B$5:$B$12=G443),0)),"SHORT","OK"))</f>
        <v/>
      </c>
    </row>
    <row r="444" customFormat="false" ht="15" hidden="false" customHeight="false" outlineLevel="0" collapsed="false">
      <c r="A444" s="15" t="n">
        <v>46317</v>
      </c>
      <c r="B444" s="16" t="str">
        <f aca="false">TEXT(A444,"ddd")</f>
        <v>Thu</v>
      </c>
      <c r="C444" s="10" t="s">
        <v>178</v>
      </c>
      <c r="D444" s="16" t="str">
        <f aca="false">IFERROR(INDEX('Staff Master'!$B$5:$B$24,MATCH(C444,'Staff Master'!$A$5:$A$24,0)),"")</f>
        <v>Meera Pillai</v>
      </c>
      <c r="E444" s="16" t="str">
        <f aca="false">IFERROR(INDEX('Staff Master'!$D$5:$D$24,MATCH(C444,'Staff Master'!$A$5:$A$24,0)),"")</f>
        <v>HR</v>
      </c>
      <c r="F444" s="16" t="str">
        <f aca="false">IFERROR(INDEX('Staff Master'!$E$5:$E$24,MATCH(C444,'Staff Master'!$A$5:$A$24,0)),"")</f>
        <v>HR Executive</v>
      </c>
      <c r="G444" s="10" t="s">
        <v>90</v>
      </c>
      <c r="H444" s="17" t="n">
        <f aca="false">IFERROR(INDEX('Shift Master'!$C$5:$C$16,MATCH(G444,'Shift Master'!$A$5:$A$16,0)),"")</f>
        <v>0.375</v>
      </c>
      <c r="I444" s="17" t="n">
        <f aca="false">IFERROR(INDEX('Shift Master'!$D$5:$D$16,MATCH(G444,'Shift Master'!$A$5:$A$16,0)),"")</f>
        <v>0.75</v>
      </c>
      <c r="J444" s="16" t="n">
        <f aca="false">IFERROR(INDEX('Shift Master'!$E$5:$E$16,MATCH(G444,'Shift Master'!$A$5:$A$16,0)),"")</f>
        <v>60</v>
      </c>
      <c r="K444" s="16" t="n">
        <f aca="false">IFERROR(INDEX('Shift Master'!$G$5:$G$16,MATCH(G444,'Shift Master'!$A$5:$A$16,0)),0)</f>
        <v>8</v>
      </c>
      <c r="L444" s="16" t="s">
        <v>228</v>
      </c>
      <c r="M444" s="16" t="s">
        <v>229</v>
      </c>
      <c r="N444" s="16" t="str">
        <f aca="false">IF(COUNTIFS('Staffing Coverage'!$A$5:$A$12,E444,'Staffing Coverage'!$B$5:$B$12,G444)=0,"",IF(COUNTIFS($A$5:$A$10004,A444,$E$5:$E$10004,E444,$G$5:$G$10004,G444)&lt;INDEX('Staffing Coverage'!$C$5:$C$12,MATCH(1,('Staffing Coverage'!$A$5:$A$12=E444)*('Staffing Coverage'!$B$5:$B$12=G444),0)),"SHORT","OK"))</f>
        <v/>
      </c>
    </row>
    <row r="445" customFormat="false" ht="15" hidden="false" customHeight="false" outlineLevel="0" collapsed="false">
      <c r="A445" s="15" t="n">
        <v>46318</v>
      </c>
      <c r="B445" s="16" t="str">
        <f aca="false">TEXT(A445,"ddd")</f>
        <v>Fri</v>
      </c>
      <c r="C445" s="10" t="s">
        <v>128</v>
      </c>
      <c r="D445" s="16" t="str">
        <f aca="false">IFERROR(INDEX('Staff Master'!$B$5:$B$24,MATCH(C445,'Staff Master'!$A$5:$A$24,0)),"")</f>
        <v>Rashid Al Nuaimi</v>
      </c>
      <c r="E445" s="16" t="str">
        <f aca="false">IFERROR(INDEX('Staff Master'!$D$5:$D$24,MATCH(C445,'Staff Master'!$A$5:$A$24,0)),"")</f>
        <v>Management</v>
      </c>
      <c r="F445" s="16" t="str">
        <f aca="false">IFERROR(INDEX('Staff Master'!$E$5:$E$24,MATCH(C445,'Staff Master'!$A$5:$A$24,0)),"")</f>
        <v>CEO</v>
      </c>
      <c r="G445" s="10" t="s">
        <v>90</v>
      </c>
      <c r="H445" s="17" t="n">
        <f aca="false">IFERROR(INDEX('Shift Master'!$C$5:$C$16,MATCH(G445,'Shift Master'!$A$5:$A$16,0)),"")</f>
        <v>0.375</v>
      </c>
      <c r="I445" s="17" t="n">
        <f aca="false">IFERROR(INDEX('Shift Master'!$D$5:$D$16,MATCH(G445,'Shift Master'!$A$5:$A$16,0)),"")</f>
        <v>0.75</v>
      </c>
      <c r="J445" s="16" t="n">
        <f aca="false">IFERROR(INDEX('Shift Master'!$E$5:$E$16,MATCH(G445,'Shift Master'!$A$5:$A$16,0)),"")</f>
        <v>60</v>
      </c>
      <c r="K445" s="16" t="n">
        <f aca="false">IFERROR(INDEX('Shift Master'!$G$5:$G$16,MATCH(G445,'Shift Master'!$A$5:$A$16,0)),0)</f>
        <v>8</v>
      </c>
      <c r="L445" s="16" t="s">
        <v>228</v>
      </c>
      <c r="M445" s="16" t="s">
        <v>229</v>
      </c>
      <c r="N445" s="16" t="str">
        <f aca="false">IF(COUNTIFS('Staffing Coverage'!$A$5:$A$12,E445,'Staffing Coverage'!$B$5:$B$12,G445)=0,"",IF(COUNTIFS($A$5:$A$10004,A445,$E$5:$E$10004,E445,$G$5:$G$10004,G445)&lt;INDEX('Staffing Coverage'!$C$5:$C$12,MATCH(1,('Staffing Coverage'!$A$5:$A$12=E445)*('Staffing Coverage'!$B$5:$B$12=G445),0)),"SHORT","OK"))</f>
        <v/>
      </c>
    </row>
    <row r="446" customFormat="false" ht="15" hidden="false" customHeight="false" outlineLevel="0" collapsed="false">
      <c r="A446" s="15" t="n">
        <v>46318</v>
      </c>
      <c r="B446" s="16" t="str">
        <f aca="false">TEXT(A446,"ddd")</f>
        <v>Fri</v>
      </c>
      <c r="C446" s="10" t="s">
        <v>137</v>
      </c>
      <c r="D446" s="16" t="str">
        <f aca="false">IFERROR(INDEX('Staff Master'!$B$5:$B$24,MATCH(C446,'Staff Master'!$A$5:$A$24,0)),"")</f>
        <v>Dr. Sara Haddad</v>
      </c>
      <c r="E446" s="16" t="str">
        <f aca="false">IFERROR(INDEX('Staff Master'!$D$5:$D$24,MATCH(C446,'Staff Master'!$A$5:$A$24,0)),"")</f>
        <v>General Practice</v>
      </c>
      <c r="F446" s="16" t="str">
        <f aca="false">IFERROR(INDEX('Staff Master'!$E$5:$E$24,MATCH(C446,'Staff Master'!$A$5:$A$24,0)),"")</f>
        <v>Medical Director</v>
      </c>
      <c r="G446" s="10" t="s">
        <v>97</v>
      </c>
      <c r="H446" s="17" t="n">
        <f aca="false">IFERROR(INDEX('Shift Master'!$C$5:$C$16,MATCH(G446,'Shift Master'!$A$5:$A$16,0)),"")</f>
        <v>0</v>
      </c>
      <c r="I446" s="17" t="n">
        <f aca="false">IFERROR(INDEX('Shift Master'!$D$5:$D$16,MATCH(G446,'Shift Master'!$A$5:$A$16,0)),"")</f>
        <v>0</v>
      </c>
      <c r="J446" s="16" t="n">
        <f aca="false">IFERROR(INDEX('Shift Master'!$E$5:$E$16,MATCH(G446,'Shift Master'!$A$5:$A$16,0)),"")</f>
        <v>0</v>
      </c>
      <c r="K446" s="16" t="n">
        <f aca="false">IFERROR(INDEX('Shift Master'!$G$5:$G$16,MATCH(G446,'Shift Master'!$A$5:$A$16,0)),0)</f>
        <v>0</v>
      </c>
      <c r="L446" s="16" t="s">
        <v>228</v>
      </c>
      <c r="M446" s="16" t="s">
        <v>229</v>
      </c>
      <c r="N446" s="16" t="str">
        <f aca="false">IF(COUNTIFS('Staffing Coverage'!$A$5:$A$12,E446,'Staffing Coverage'!$B$5:$B$12,G446)=0,"",IF(COUNTIFS($A$5:$A$10004,A446,$E$5:$E$10004,E446,$G$5:$G$10004,G446)&lt;INDEX('Staffing Coverage'!$C$5:$C$12,MATCH(1,('Staffing Coverage'!$A$5:$A$12=E446)*('Staffing Coverage'!$B$5:$B$12=G446),0)),"SHORT","OK"))</f>
        <v/>
      </c>
    </row>
    <row r="447" customFormat="false" ht="15" hidden="false" customHeight="false" outlineLevel="0" collapsed="false">
      <c r="A447" s="15" t="n">
        <v>46318</v>
      </c>
      <c r="B447" s="16" t="str">
        <f aca="false">TEXT(A447,"ddd")</f>
        <v>Fri</v>
      </c>
      <c r="C447" s="10" t="s">
        <v>142</v>
      </c>
      <c r="D447" s="16" t="str">
        <f aca="false">IFERROR(INDEX('Staff Master'!$B$5:$B$24,MATCH(C447,'Staff Master'!$A$5:$A$24,0)),"")</f>
        <v>Dr. Omar Khalil</v>
      </c>
      <c r="E447" s="16" t="str">
        <f aca="false">IFERROR(INDEX('Staff Master'!$D$5:$D$24,MATCH(C447,'Staff Master'!$A$5:$A$24,0)),"")</f>
        <v>General Practice</v>
      </c>
      <c r="F447" s="16" t="str">
        <f aca="false">IFERROR(INDEX('Staff Master'!$E$5:$E$24,MATCH(C447,'Staff Master'!$A$5:$A$24,0)),"")</f>
        <v>Doctor</v>
      </c>
      <c r="G447" s="10" t="s">
        <v>96</v>
      </c>
      <c r="H447" s="17" t="n">
        <f aca="false">IFERROR(INDEX('Shift Master'!$C$5:$C$16,MATCH(G447,'Shift Master'!$A$5:$A$16,0)),"")</f>
        <v>0.375</v>
      </c>
      <c r="I447" s="17" t="n">
        <f aca="false">IFERROR(INDEX('Shift Master'!$D$5:$D$16,MATCH(G447,'Shift Master'!$A$5:$A$16,0)),"")</f>
        <v>0.708333333333333</v>
      </c>
      <c r="J447" s="16" t="n">
        <f aca="false">IFERROR(INDEX('Shift Master'!$E$5:$E$16,MATCH(G447,'Shift Master'!$A$5:$A$16,0)),"")</f>
        <v>60</v>
      </c>
      <c r="K447" s="16" t="n">
        <f aca="false">IFERROR(INDEX('Shift Master'!$G$5:$G$16,MATCH(G447,'Shift Master'!$A$5:$A$16,0)),0)</f>
        <v>7</v>
      </c>
      <c r="L447" s="16" t="s">
        <v>228</v>
      </c>
      <c r="M447" s="16" t="s">
        <v>229</v>
      </c>
      <c r="N447" s="16" t="str">
        <f aca="false">IF(COUNTIFS('Staffing Coverage'!$A$5:$A$12,E447,'Staffing Coverage'!$B$5:$B$12,G447)=0,"",IF(COUNTIFS($A$5:$A$10004,A447,$E$5:$E$10004,E447,$G$5:$G$10004,G447)&lt;INDEX('Staffing Coverage'!$C$5:$C$12,MATCH(1,('Staffing Coverage'!$A$5:$A$12=E447)*('Staffing Coverage'!$B$5:$B$12=G447),0)),"SHORT","OK"))</f>
        <v/>
      </c>
    </row>
    <row r="448" customFormat="false" ht="15" hidden="false" customHeight="false" outlineLevel="0" collapsed="false">
      <c r="A448" s="15" t="n">
        <v>46318</v>
      </c>
      <c r="B448" s="16" t="str">
        <f aca="false">TEXT(A448,"ddd")</f>
        <v>Fri</v>
      </c>
      <c r="C448" s="10" t="s">
        <v>146</v>
      </c>
      <c r="D448" s="16" t="str">
        <f aca="false">IFERROR(INDEX('Staff Master'!$B$5:$B$24,MATCH(C448,'Staff Master'!$A$5:$A$24,0)),"")</f>
        <v>Dr. Lina Abboud</v>
      </c>
      <c r="E448" s="16" t="str">
        <f aca="false">IFERROR(INDEX('Staff Master'!$D$5:$D$24,MATCH(C448,'Staff Master'!$A$5:$A$24,0)),"")</f>
        <v>Dental</v>
      </c>
      <c r="F448" s="16" t="str">
        <f aca="false">IFERROR(INDEX('Staff Master'!$E$5:$E$24,MATCH(C448,'Staff Master'!$A$5:$A$24,0)),"")</f>
        <v>Dentist</v>
      </c>
      <c r="G448" s="10" t="s">
        <v>97</v>
      </c>
      <c r="H448" s="17" t="n">
        <f aca="false">IFERROR(INDEX('Shift Master'!$C$5:$C$16,MATCH(G448,'Shift Master'!$A$5:$A$16,0)),"")</f>
        <v>0</v>
      </c>
      <c r="I448" s="17" t="n">
        <f aca="false">IFERROR(INDEX('Shift Master'!$D$5:$D$16,MATCH(G448,'Shift Master'!$A$5:$A$16,0)),"")</f>
        <v>0</v>
      </c>
      <c r="J448" s="16" t="n">
        <f aca="false">IFERROR(INDEX('Shift Master'!$E$5:$E$16,MATCH(G448,'Shift Master'!$A$5:$A$16,0)),"")</f>
        <v>0</v>
      </c>
      <c r="K448" s="16" t="n">
        <f aca="false">IFERROR(INDEX('Shift Master'!$G$5:$G$16,MATCH(G448,'Shift Master'!$A$5:$A$16,0)),0)</f>
        <v>0</v>
      </c>
      <c r="L448" s="16" t="s">
        <v>228</v>
      </c>
      <c r="M448" s="16" t="s">
        <v>229</v>
      </c>
      <c r="N448" s="16" t="str">
        <f aca="false">IF(COUNTIFS('Staffing Coverage'!$A$5:$A$12,E448,'Staffing Coverage'!$B$5:$B$12,G448)=0,"",IF(COUNTIFS($A$5:$A$10004,A448,$E$5:$E$10004,E448,$G$5:$G$10004,G448)&lt;INDEX('Staffing Coverage'!$C$5:$C$12,MATCH(1,('Staffing Coverage'!$A$5:$A$12=E448)*('Staffing Coverage'!$B$5:$B$12=G448),0)),"SHORT","OK"))</f>
        <v/>
      </c>
    </row>
    <row r="449" customFormat="false" ht="15" hidden="false" customHeight="false" outlineLevel="0" collapsed="false">
      <c r="A449" s="15" t="n">
        <v>46318</v>
      </c>
      <c r="B449" s="16" t="str">
        <f aca="false">TEXT(A449,"ddd")</f>
        <v>Fri</v>
      </c>
      <c r="C449" s="10" t="s">
        <v>150</v>
      </c>
      <c r="D449" s="16" t="str">
        <f aca="false">IFERROR(INDEX('Staff Master'!$B$5:$B$24,MATCH(C449,'Staff Master'!$A$5:$A$24,0)),"")</f>
        <v>Dr. Farah Idris</v>
      </c>
      <c r="E449" s="16" t="str">
        <f aca="false">IFERROR(INDEX('Staff Master'!$D$5:$D$24,MATCH(C449,'Staff Master'!$A$5:$A$24,0)),"")</f>
        <v>Dental</v>
      </c>
      <c r="F449" s="16" t="str">
        <f aca="false">IFERROR(INDEX('Staff Master'!$E$5:$E$24,MATCH(C449,'Staff Master'!$A$5:$A$24,0)),"")</f>
        <v>Dentist</v>
      </c>
      <c r="G449" s="10" t="s">
        <v>96</v>
      </c>
      <c r="H449" s="17" t="n">
        <f aca="false">IFERROR(INDEX('Shift Master'!$C$5:$C$16,MATCH(G449,'Shift Master'!$A$5:$A$16,0)),"")</f>
        <v>0.375</v>
      </c>
      <c r="I449" s="17" t="n">
        <f aca="false">IFERROR(INDEX('Shift Master'!$D$5:$D$16,MATCH(G449,'Shift Master'!$A$5:$A$16,0)),"")</f>
        <v>0.708333333333333</v>
      </c>
      <c r="J449" s="16" t="n">
        <f aca="false">IFERROR(INDEX('Shift Master'!$E$5:$E$16,MATCH(G449,'Shift Master'!$A$5:$A$16,0)),"")</f>
        <v>60</v>
      </c>
      <c r="K449" s="16" t="n">
        <f aca="false">IFERROR(INDEX('Shift Master'!$G$5:$G$16,MATCH(G449,'Shift Master'!$A$5:$A$16,0)),0)</f>
        <v>7</v>
      </c>
      <c r="L449" s="16" t="s">
        <v>228</v>
      </c>
      <c r="M449" s="16" t="s">
        <v>229</v>
      </c>
      <c r="N449" s="16" t="str">
        <f aca="false">IF(COUNTIFS('Staffing Coverage'!$A$5:$A$12,E449,'Staffing Coverage'!$B$5:$B$12,G449)=0,"",IF(COUNTIFS($A$5:$A$10004,A449,$E$5:$E$10004,E449,$G$5:$G$10004,G449)&lt;INDEX('Staffing Coverage'!$C$5:$C$12,MATCH(1,('Staffing Coverage'!$A$5:$A$12=E449)*('Staffing Coverage'!$B$5:$B$12=G449),0)),"SHORT","OK"))</f>
        <v/>
      </c>
    </row>
    <row r="450" customFormat="false" ht="15" hidden="false" customHeight="false" outlineLevel="0" collapsed="false">
      <c r="A450" s="15" t="n">
        <v>46318</v>
      </c>
      <c r="B450" s="16" t="str">
        <f aca="false">TEXT(A450,"ddd")</f>
        <v>Fri</v>
      </c>
      <c r="C450" s="10" t="s">
        <v>157</v>
      </c>
      <c r="D450" s="16" t="str">
        <f aca="false">IFERROR(INDEX('Staff Master'!$B$5:$B$24,MATCH(C450,'Staff Master'!$A$5:$A$24,0)),"")</f>
        <v>Dr. Youssef Nassar</v>
      </c>
      <c r="E450" s="16" t="str">
        <f aca="false">IFERROR(INDEX('Staff Master'!$D$5:$D$24,MATCH(C450,'Staff Master'!$A$5:$A$24,0)),"")</f>
        <v>General Practice</v>
      </c>
      <c r="F450" s="16" t="str">
        <f aca="false">IFERROR(INDEX('Staff Master'!$E$5:$E$24,MATCH(C450,'Staff Master'!$A$5:$A$24,0)),"")</f>
        <v>General Practitioner</v>
      </c>
      <c r="G450" s="10" t="s">
        <v>96</v>
      </c>
      <c r="H450" s="17" t="n">
        <f aca="false">IFERROR(INDEX('Shift Master'!$C$5:$C$16,MATCH(G450,'Shift Master'!$A$5:$A$16,0)),"")</f>
        <v>0.375</v>
      </c>
      <c r="I450" s="17" t="n">
        <f aca="false">IFERROR(INDEX('Shift Master'!$D$5:$D$16,MATCH(G450,'Shift Master'!$A$5:$A$16,0)),"")</f>
        <v>0.708333333333333</v>
      </c>
      <c r="J450" s="16" t="n">
        <f aca="false">IFERROR(INDEX('Shift Master'!$E$5:$E$16,MATCH(G450,'Shift Master'!$A$5:$A$16,0)),"")</f>
        <v>60</v>
      </c>
      <c r="K450" s="16" t="n">
        <f aca="false">IFERROR(INDEX('Shift Master'!$G$5:$G$16,MATCH(G450,'Shift Master'!$A$5:$A$16,0)),0)</f>
        <v>7</v>
      </c>
      <c r="L450" s="16" t="s">
        <v>228</v>
      </c>
      <c r="M450" s="16" t="s">
        <v>229</v>
      </c>
      <c r="N450" s="16" t="str">
        <f aca="false">IF(COUNTIFS('Staffing Coverage'!$A$5:$A$12,E450,'Staffing Coverage'!$B$5:$B$12,G450)=0,"",IF(COUNTIFS($A$5:$A$10004,A450,$E$5:$E$10004,E450,$G$5:$G$10004,G450)&lt;INDEX('Staffing Coverage'!$C$5:$C$12,MATCH(1,('Staffing Coverage'!$A$5:$A$12=E450)*('Staffing Coverage'!$B$5:$B$12=G450),0)),"SHORT","OK"))</f>
        <v/>
      </c>
    </row>
    <row r="451" customFormat="false" ht="15" hidden="false" customHeight="false" outlineLevel="0" collapsed="false">
      <c r="A451" s="15" t="n">
        <v>46318</v>
      </c>
      <c r="B451" s="16" t="str">
        <f aca="false">TEXT(A451,"ddd")</f>
        <v>Fri</v>
      </c>
      <c r="C451" s="10" t="s">
        <v>161</v>
      </c>
      <c r="D451" s="16" t="str">
        <f aca="false">IFERROR(INDEX('Staff Master'!$B$5:$B$24,MATCH(C451,'Staff Master'!$A$5:$A$24,0)),"")</f>
        <v>Grace Fernandez</v>
      </c>
      <c r="E451" s="16" t="str">
        <f aca="false">IFERROR(INDEX('Staff Master'!$D$5:$D$24,MATCH(C451,'Staff Master'!$A$5:$A$24,0)),"")</f>
        <v>Nursing</v>
      </c>
      <c r="F451" s="16" t="str">
        <f aca="false">IFERROR(INDEX('Staff Master'!$E$5:$E$24,MATCH(C451,'Staff Master'!$A$5:$A$24,0)),"")</f>
        <v>Nurse</v>
      </c>
      <c r="G451" s="10" t="s">
        <v>87</v>
      </c>
      <c r="H451" s="17" t="n">
        <f aca="false">IFERROR(INDEX('Shift Master'!$C$5:$C$16,MATCH(G451,'Shift Master'!$A$5:$A$16,0)),"")</f>
        <v>0.333333333333333</v>
      </c>
      <c r="I451" s="17" t="n">
        <f aca="false">IFERROR(INDEX('Shift Master'!$D$5:$D$16,MATCH(G451,'Shift Master'!$A$5:$A$16,0)),"")</f>
        <v>0.708333333333333</v>
      </c>
      <c r="J451" s="16" t="n">
        <f aca="false">IFERROR(INDEX('Shift Master'!$E$5:$E$16,MATCH(G451,'Shift Master'!$A$5:$A$16,0)),"")</f>
        <v>60</v>
      </c>
      <c r="K451" s="16" t="n">
        <f aca="false">IFERROR(INDEX('Shift Master'!$G$5:$G$16,MATCH(G451,'Shift Master'!$A$5:$A$16,0)),0)</f>
        <v>8</v>
      </c>
      <c r="L451" s="16" t="s">
        <v>228</v>
      </c>
      <c r="M451" s="16" t="s">
        <v>229</v>
      </c>
      <c r="N451" s="16" t="str">
        <f aca="false">IF(COUNTIFS('Staffing Coverage'!$A$5:$A$12,E451,'Staffing Coverage'!$B$5:$B$12,G451)=0,"",IF(COUNTIFS($A$5:$A$10004,A451,$E$5:$E$10004,E451,$G$5:$G$10004,G451)&lt;INDEX('Staffing Coverage'!$C$5:$C$12,MATCH(1,('Staffing Coverage'!$A$5:$A$12=E451)*('Staffing Coverage'!$B$5:$B$12=G451),0)),"SHORT","OK"))</f>
        <v>OK</v>
      </c>
    </row>
    <row r="452" customFormat="false" ht="15" hidden="false" customHeight="false" outlineLevel="0" collapsed="false">
      <c r="A452" s="15" t="n">
        <v>46318</v>
      </c>
      <c r="B452" s="16" t="str">
        <f aca="false">TEXT(A452,"ddd")</f>
        <v>Fri</v>
      </c>
      <c r="C452" s="10" t="s">
        <v>165</v>
      </c>
      <c r="D452" s="16" t="str">
        <f aca="false">IFERROR(INDEX('Staff Master'!$B$5:$B$24,MATCH(C452,'Staff Master'!$A$5:$A$24,0)),"")</f>
        <v>Priya Nair</v>
      </c>
      <c r="E452" s="16" t="str">
        <f aca="false">IFERROR(INDEX('Staff Master'!$D$5:$D$24,MATCH(C452,'Staff Master'!$A$5:$A$24,0)),"")</f>
        <v>Nursing</v>
      </c>
      <c r="F452" s="16" t="str">
        <f aca="false">IFERROR(INDEX('Staff Master'!$E$5:$E$24,MATCH(C452,'Staff Master'!$A$5:$A$24,0)),"")</f>
        <v>Nurse</v>
      </c>
      <c r="G452" s="10" t="s">
        <v>90</v>
      </c>
      <c r="H452" s="17" t="n">
        <f aca="false">IFERROR(INDEX('Shift Master'!$C$5:$C$16,MATCH(G452,'Shift Master'!$A$5:$A$16,0)),"")</f>
        <v>0.375</v>
      </c>
      <c r="I452" s="17" t="n">
        <f aca="false">IFERROR(INDEX('Shift Master'!$D$5:$D$16,MATCH(G452,'Shift Master'!$A$5:$A$16,0)),"")</f>
        <v>0.75</v>
      </c>
      <c r="J452" s="16" t="n">
        <f aca="false">IFERROR(INDEX('Shift Master'!$E$5:$E$16,MATCH(G452,'Shift Master'!$A$5:$A$16,0)),"")</f>
        <v>60</v>
      </c>
      <c r="K452" s="16" t="n">
        <f aca="false">IFERROR(INDEX('Shift Master'!$G$5:$G$16,MATCH(G452,'Shift Master'!$A$5:$A$16,0)),0)</f>
        <v>8</v>
      </c>
      <c r="L452" s="16" t="s">
        <v>228</v>
      </c>
      <c r="M452" s="16" t="s">
        <v>229</v>
      </c>
      <c r="N452" s="16" t="str">
        <f aca="false">IF(COUNTIFS('Staffing Coverage'!$A$5:$A$12,E452,'Staffing Coverage'!$B$5:$B$12,G452)=0,"",IF(COUNTIFS($A$5:$A$10004,A452,$E$5:$E$10004,E452,$G$5:$G$10004,G452)&lt;INDEX('Staffing Coverage'!$C$5:$C$12,MATCH(1,('Staffing Coverage'!$A$5:$A$12=E452)*('Staffing Coverage'!$B$5:$B$12=G452),0)),"SHORT","OK"))</f>
        <v>OK</v>
      </c>
    </row>
    <row r="453" customFormat="false" ht="15" hidden="false" customHeight="false" outlineLevel="0" collapsed="false">
      <c r="A453" s="15" t="n">
        <v>46318</v>
      </c>
      <c r="B453" s="16" t="str">
        <f aca="false">TEXT(A453,"ddd")</f>
        <v>Fri</v>
      </c>
      <c r="C453" s="10" t="s">
        <v>170</v>
      </c>
      <c r="D453" s="16" t="str">
        <f aca="false">IFERROR(INDEX('Staff Master'!$B$5:$B$24,MATCH(C453,'Staff Master'!$A$5:$A$24,0)),"")</f>
        <v>Maria Santos</v>
      </c>
      <c r="E453" s="16" t="str">
        <f aca="false">IFERROR(INDEX('Staff Master'!$D$5:$D$24,MATCH(C453,'Staff Master'!$A$5:$A$24,0)),"")</f>
        <v>Nursing</v>
      </c>
      <c r="F453" s="16" t="str">
        <f aca="false">IFERROR(INDEX('Staff Master'!$E$5:$E$24,MATCH(C453,'Staff Master'!$A$5:$A$24,0)),"")</f>
        <v>Nurse</v>
      </c>
      <c r="G453" s="10" t="s">
        <v>94</v>
      </c>
      <c r="H453" s="17" t="n">
        <f aca="false">IFERROR(INDEX('Shift Master'!$C$5:$C$16,MATCH(G453,'Shift Master'!$A$5:$A$16,0)),"")</f>
        <v>0.541666666666667</v>
      </c>
      <c r="I453" s="17" t="n">
        <f aca="false">IFERROR(INDEX('Shift Master'!$D$5:$D$16,MATCH(G453,'Shift Master'!$A$5:$A$16,0)),"")</f>
        <v>0.916666666666667</v>
      </c>
      <c r="J453" s="16" t="n">
        <f aca="false">IFERROR(INDEX('Shift Master'!$E$5:$E$16,MATCH(G453,'Shift Master'!$A$5:$A$16,0)),"")</f>
        <v>60</v>
      </c>
      <c r="K453" s="16" t="n">
        <f aca="false">IFERROR(INDEX('Shift Master'!$G$5:$G$16,MATCH(G453,'Shift Master'!$A$5:$A$16,0)),0)</f>
        <v>8</v>
      </c>
      <c r="L453" s="16" t="s">
        <v>228</v>
      </c>
      <c r="M453" s="16" t="s">
        <v>229</v>
      </c>
      <c r="N453" s="16" t="str">
        <f aca="false">IF(COUNTIFS('Staffing Coverage'!$A$5:$A$12,E453,'Staffing Coverage'!$B$5:$B$12,G453)=0,"",IF(COUNTIFS($A$5:$A$10004,A453,$E$5:$E$10004,E453,$G$5:$G$10004,G453)&lt;INDEX('Staffing Coverage'!$C$5:$C$12,MATCH(1,('Staffing Coverage'!$A$5:$A$12=E453)*('Staffing Coverage'!$B$5:$B$12=G453),0)),"SHORT","OK"))</f>
        <v/>
      </c>
    </row>
    <row r="454" customFormat="false" ht="15" hidden="false" customHeight="false" outlineLevel="0" collapsed="false">
      <c r="A454" s="15" t="n">
        <v>46318</v>
      </c>
      <c r="B454" s="16" t="str">
        <f aca="false">TEXT(A454,"ddd")</f>
        <v>Fri</v>
      </c>
      <c r="C454" s="10" t="s">
        <v>174</v>
      </c>
      <c r="D454" s="16" t="str">
        <f aca="false">IFERROR(INDEX('Staff Master'!$B$5:$B$24,MATCH(C454,'Staff Master'!$A$5:$A$24,0)),"")</f>
        <v>Aisha Al Shamsi</v>
      </c>
      <c r="E454" s="16" t="str">
        <f aca="false">IFERROR(INDEX('Staff Master'!$D$5:$D$24,MATCH(C454,'Staff Master'!$A$5:$A$24,0)),"")</f>
        <v>Reception</v>
      </c>
      <c r="F454" s="16" t="str">
        <f aca="false">IFERROR(INDEX('Staff Master'!$E$5:$E$24,MATCH(C454,'Staff Master'!$A$5:$A$24,0)),"")</f>
        <v>Receptionist</v>
      </c>
      <c r="G454" s="10" t="s">
        <v>87</v>
      </c>
      <c r="H454" s="17" t="n">
        <f aca="false">IFERROR(INDEX('Shift Master'!$C$5:$C$16,MATCH(G454,'Shift Master'!$A$5:$A$16,0)),"")</f>
        <v>0.333333333333333</v>
      </c>
      <c r="I454" s="17" t="n">
        <f aca="false">IFERROR(INDEX('Shift Master'!$D$5:$D$16,MATCH(G454,'Shift Master'!$A$5:$A$16,0)),"")</f>
        <v>0.708333333333333</v>
      </c>
      <c r="J454" s="16" t="n">
        <f aca="false">IFERROR(INDEX('Shift Master'!$E$5:$E$16,MATCH(G454,'Shift Master'!$A$5:$A$16,0)),"")</f>
        <v>60</v>
      </c>
      <c r="K454" s="16" t="n">
        <f aca="false">IFERROR(INDEX('Shift Master'!$G$5:$G$16,MATCH(G454,'Shift Master'!$A$5:$A$16,0)),0)</f>
        <v>8</v>
      </c>
      <c r="L454" s="16" t="s">
        <v>228</v>
      </c>
      <c r="M454" s="16" t="s">
        <v>229</v>
      </c>
      <c r="N454" s="16" t="str">
        <f aca="false">IF(COUNTIFS('Staffing Coverage'!$A$5:$A$12,E454,'Staffing Coverage'!$B$5:$B$12,G454)=0,"",IF(COUNTIFS($A$5:$A$10004,A454,$E$5:$E$10004,E454,$G$5:$G$10004,G454)&lt;INDEX('Staffing Coverage'!$C$5:$C$12,MATCH(1,('Staffing Coverage'!$A$5:$A$12=E454)*('Staffing Coverage'!$B$5:$B$12=G454),0)),"SHORT","OK"))</f>
        <v>SHORT</v>
      </c>
    </row>
    <row r="455" customFormat="false" ht="15" hidden="false" customHeight="false" outlineLevel="0" collapsed="false">
      <c r="A455" s="15" t="n">
        <v>46318</v>
      </c>
      <c r="B455" s="16" t="str">
        <f aca="false">TEXT(A455,"ddd")</f>
        <v>Fri</v>
      </c>
      <c r="C455" s="10" t="s">
        <v>179</v>
      </c>
      <c r="D455" s="16" t="str">
        <f aca="false">IFERROR(INDEX('Staff Master'!$B$5:$B$24,MATCH(C455,'Staff Master'!$A$5:$A$24,0)),"")</f>
        <v>John Dsouza</v>
      </c>
      <c r="E455" s="16" t="str">
        <f aca="false">IFERROR(INDEX('Staff Master'!$D$5:$D$24,MATCH(C455,'Staff Master'!$A$5:$A$24,0)),"")</f>
        <v>Reception</v>
      </c>
      <c r="F455" s="16" t="str">
        <f aca="false">IFERROR(INDEX('Staff Master'!$E$5:$E$24,MATCH(C455,'Staff Master'!$A$5:$A$24,0)),"")</f>
        <v>Receptionist</v>
      </c>
      <c r="G455" s="10" t="s">
        <v>90</v>
      </c>
      <c r="H455" s="17" t="n">
        <f aca="false">IFERROR(INDEX('Shift Master'!$C$5:$C$16,MATCH(G455,'Shift Master'!$A$5:$A$16,0)),"")</f>
        <v>0.375</v>
      </c>
      <c r="I455" s="17" t="n">
        <f aca="false">IFERROR(INDEX('Shift Master'!$D$5:$D$16,MATCH(G455,'Shift Master'!$A$5:$A$16,0)),"")</f>
        <v>0.75</v>
      </c>
      <c r="J455" s="16" t="n">
        <f aca="false">IFERROR(INDEX('Shift Master'!$E$5:$E$16,MATCH(G455,'Shift Master'!$A$5:$A$16,0)),"")</f>
        <v>60</v>
      </c>
      <c r="K455" s="16" t="n">
        <f aca="false">IFERROR(INDEX('Shift Master'!$G$5:$G$16,MATCH(G455,'Shift Master'!$A$5:$A$16,0)),0)</f>
        <v>8</v>
      </c>
      <c r="L455" s="16" t="s">
        <v>228</v>
      </c>
      <c r="M455" s="16" t="s">
        <v>229</v>
      </c>
      <c r="N455" s="16" t="str">
        <f aca="false">IF(COUNTIFS('Staffing Coverage'!$A$5:$A$12,E455,'Staffing Coverage'!$B$5:$B$12,G455)=0,"",IF(COUNTIFS($A$5:$A$10004,A455,$E$5:$E$10004,E455,$G$5:$G$10004,G455)&lt;INDEX('Staffing Coverage'!$C$5:$C$12,MATCH(1,('Staffing Coverage'!$A$5:$A$12=E455)*('Staffing Coverage'!$B$5:$B$12=G455),0)),"SHORT","OK"))</f>
        <v>SHORT</v>
      </c>
    </row>
    <row r="456" customFormat="false" ht="15" hidden="false" customHeight="false" outlineLevel="0" collapsed="false">
      <c r="A456" s="15" t="n">
        <v>46318</v>
      </c>
      <c r="B456" s="16" t="str">
        <f aca="false">TEXT(A456,"ddd")</f>
        <v>Fri</v>
      </c>
      <c r="C456" s="10" t="s">
        <v>184</v>
      </c>
      <c r="D456" s="16" t="str">
        <f aca="false">IFERROR(INDEX('Staff Master'!$B$5:$B$24,MATCH(C456,'Staff Master'!$A$5:$A$24,0)),"")</f>
        <v>Fatima Zahra</v>
      </c>
      <c r="E456" s="16" t="str">
        <f aca="false">IFERROR(INDEX('Staff Master'!$D$5:$D$24,MATCH(C456,'Staff Master'!$A$5:$A$24,0)),"")</f>
        <v>Reception</v>
      </c>
      <c r="F456" s="16" t="str">
        <f aca="false">IFERROR(INDEX('Staff Master'!$E$5:$E$24,MATCH(C456,'Staff Master'!$A$5:$A$24,0)),"")</f>
        <v>Receptionist</v>
      </c>
      <c r="G456" s="10" t="s">
        <v>94</v>
      </c>
      <c r="H456" s="17" t="n">
        <f aca="false">IFERROR(INDEX('Shift Master'!$C$5:$C$16,MATCH(G456,'Shift Master'!$A$5:$A$16,0)),"")</f>
        <v>0.541666666666667</v>
      </c>
      <c r="I456" s="17" t="n">
        <f aca="false">IFERROR(INDEX('Shift Master'!$D$5:$D$16,MATCH(G456,'Shift Master'!$A$5:$A$16,0)),"")</f>
        <v>0.916666666666667</v>
      </c>
      <c r="J456" s="16" t="n">
        <f aca="false">IFERROR(INDEX('Shift Master'!$E$5:$E$16,MATCH(G456,'Shift Master'!$A$5:$A$16,0)),"")</f>
        <v>60</v>
      </c>
      <c r="K456" s="16" t="n">
        <f aca="false">IFERROR(INDEX('Shift Master'!$G$5:$G$16,MATCH(G456,'Shift Master'!$A$5:$A$16,0)),0)</f>
        <v>8</v>
      </c>
      <c r="L456" s="16" t="s">
        <v>228</v>
      </c>
      <c r="M456" s="16" t="s">
        <v>229</v>
      </c>
      <c r="N456" s="16" t="str">
        <f aca="false">IF(COUNTIFS('Staffing Coverage'!$A$5:$A$12,E456,'Staffing Coverage'!$B$5:$B$12,G456)=0,"",IF(COUNTIFS($A$5:$A$10004,A456,$E$5:$E$10004,E456,$G$5:$G$10004,G456)&lt;INDEX('Staffing Coverage'!$C$5:$C$12,MATCH(1,('Staffing Coverage'!$A$5:$A$12=E456)*('Staffing Coverage'!$B$5:$B$12=G456),0)),"SHORT","OK"))</f>
        <v>OK</v>
      </c>
    </row>
    <row r="457" customFormat="false" ht="15" hidden="false" customHeight="false" outlineLevel="0" collapsed="false">
      <c r="A457" s="15" t="n">
        <v>46318</v>
      </c>
      <c r="B457" s="16" t="str">
        <f aca="false">TEXT(A457,"ddd")</f>
        <v>Fri</v>
      </c>
      <c r="C457" s="10" t="s">
        <v>188</v>
      </c>
      <c r="D457" s="16" t="str">
        <f aca="false">IFERROR(INDEX('Staff Master'!$B$5:$B$24,MATCH(C457,'Staff Master'!$A$5:$A$24,0)),"")</f>
        <v>Ana Reyes</v>
      </c>
      <c r="E457" s="16" t="str">
        <f aca="false">IFERROR(INDEX('Staff Master'!$D$5:$D$24,MATCH(C457,'Staff Master'!$A$5:$A$24,0)),"")</f>
        <v>Dental</v>
      </c>
      <c r="F457" s="16" t="str">
        <f aca="false">IFERROR(INDEX('Staff Master'!$E$5:$E$24,MATCH(C457,'Staff Master'!$A$5:$A$24,0)),"")</f>
        <v>Dental Assistant</v>
      </c>
      <c r="G457" s="10" t="s">
        <v>87</v>
      </c>
      <c r="H457" s="17" t="n">
        <f aca="false">IFERROR(INDEX('Shift Master'!$C$5:$C$16,MATCH(G457,'Shift Master'!$A$5:$A$16,0)),"")</f>
        <v>0.333333333333333</v>
      </c>
      <c r="I457" s="17" t="n">
        <f aca="false">IFERROR(INDEX('Shift Master'!$D$5:$D$16,MATCH(G457,'Shift Master'!$A$5:$A$16,0)),"")</f>
        <v>0.708333333333333</v>
      </c>
      <c r="J457" s="16" t="n">
        <f aca="false">IFERROR(INDEX('Shift Master'!$E$5:$E$16,MATCH(G457,'Shift Master'!$A$5:$A$16,0)),"")</f>
        <v>60</v>
      </c>
      <c r="K457" s="16" t="n">
        <f aca="false">IFERROR(INDEX('Shift Master'!$G$5:$G$16,MATCH(G457,'Shift Master'!$A$5:$A$16,0)),0)</f>
        <v>8</v>
      </c>
      <c r="L457" s="16" t="s">
        <v>228</v>
      </c>
      <c r="M457" s="16" t="s">
        <v>229</v>
      </c>
      <c r="N457" s="16" t="str">
        <f aca="false">IF(COUNTIFS('Staffing Coverage'!$A$5:$A$12,E457,'Staffing Coverage'!$B$5:$B$12,G457)=0,"",IF(COUNTIFS($A$5:$A$10004,A457,$E$5:$E$10004,E457,$G$5:$G$10004,G457)&lt;INDEX('Staffing Coverage'!$C$5:$C$12,MATCH(1,('Staffing Coverage'!$A$5:$A$12=E457)*('Staffing Coverage'!$B$5:$B$12=G457),0)),"SHORT","OK"))</f>
        <v>OK</v>
      </c>
    </row>
    <row r="458" customFormat="false" ht="15" hidden="false" customHeight="false" outlineLevel="0" collapsed="false">
      <c r="A458" s="15" t="n">
        <v>46318</v>
      </c>
      <c r="B458" s="16" t="str">
        <f aca="false">TEXT(A458,"ddd")</f>
        <v>Fri</v>
      </c>
      <c r="C458" s="10" t="s">
        <v>192</v>
      </c>
      <c r="D458" s="16" t="str">
        <f aca="false">IFERROR(INDEX('Staff Master'!$B$5:$B$24,MATCH(C458,'Staff Master'!$A$5:$A$24,0)),"")</f>
        <v>Noor Hassan</v>
      </c>
      <c r="E458" s="16" t="str">
        <f aca="false">IFERROR(INDEX('Staff Master'!$D$5:$D$24,MATCH(C458,'Staff Master'!$A$5:$A$24,0)),"")</f>
        <v>Dental</v>
      </c>
      <c r="F458" s="16" t="str">
        <f aca="false">IFERROR(INDEX('Staff Master'!$E$5:$E$24,MATCH(C458,'Staff Master'!$A$5:$A$24,0)),"")</f>
        <v>Dental Assistant</v>
      </c>
      <c r="G458" s="10" t="s">
        <v>90</v>
      </c>
      <c r="H458" s="17" t="n">
        <f aca="false">IFERROR(INDEX('Shift Master'!$C$5:$C$16,MATCH(G458,'Shift Master'!$A$5:$A$16,0)),"")</f>
        <v>0.375</v>
      </c>
      <c r="I458" s="17" t="n">
        <f aca="false">IFERROR(INDEX('Shift Master'!$D$5:$D$16,MATCH(G458,'Shift Master'!$A$5:$A$16,0)),"")</f>
        <v>0.75</v>
      </c>
      <c r="J458" s="16" t="n">
        <f aca="false">IFERROR(INDEX('Shift Master'!$E$5:$E$16,MATCH(G458,'Shift Master'!$A$5:$A$16,0)),"")</f>
        <v>60</v>
      </c>
      <c r="K458" s="16" t="n">
        <f aca="false">IFERROR(INDEX('Shift Master'!$G$5:$G$16,MATCH(G458,'Shift Master'!$A$5:$A$16,0)),0)</f>
        <v>8</v>
      </c>
      <c r="L458" s="16" t="s">
        <v>228</v>
      </c>
      <c r="M458" s="16" t="s">
        <v>229</v>
      </c>
      <c r="N458" s="16" t="str">
        <f aca="false">IF(COUNTIFS('Staffing Coverage'!$A$5:$A$12,E458,'Staffing Coverage'!$B$5:$B$12,G458)=0,"",IF(COUNTIFS($A$5:$A$10004,A458,$E$5:$E$10004,E458,$G$5:$G$10004,G458)&lt;INDEX('Staffing Coverage'!$C$5:$C$12,MATCH(1,('Staffing Coverage'!$A$5:$A$12=E458)*('Staffing Coverage'!$B$5:$B$12=G458),0)),"SHORT","OK"))</f>
        <v/>
      </c>
    </row>
    <row r="459" customFormat="false" ht="15" hidden="false" customHeight="false" outlineLevel="0" collapsed="false">
      <c r="A459" s="15" t="n">
        <v>46318</v>
      </c>
      <c r="B459" s="16" t="str">
        <f aca="false">TEXT(A459,"ddd")</f>
        <v>Fri</v>
      </c>
      <c r="C459" s="10" t="s">
        <v>196</v>
      </c>
      <c r="D459" s="16" t="str">
        <f aca="false">IFERROR(INDEX('Staff Master'!$B$5:$B$24,MATCH(C459,'Staff Master'!$A$5:$A$24,0)),"")</f>
        <v>Karan Mehta</v>
      </c>
      <c r="E459" s="16" t="str">
        <f aca="false">IFERROR(INDEX('Staff Master'!$D$5:$D$24,MATCH(C459,'Staff Master'!$A$5:$A$24,0)),"")</f>
        <v>Laser</v>
      </c>
      <c r="F459" s="16" t="str">
        <f aca="false">IFERROR(INDEX('Staff Master'!$E$5:$E$24,MATCH(C459,'Staff Master'!$A$5:$A$24,0)),"")</f>
        <v>Laser Technician</v>
      </c>
      <c r="G459" s="10" t="s">
        <v>97</v>
      </c>
      <c r="H459" s="17" t="n">
        <f aca="false">IFERROR(INDEX('Shift Master'!$C$5:$C$16,MATCH(G459,'Shift Master'!$A$5:$A$16,0)),"")</f>
        <v>0</v>
      </c>
      <c r="I459" s="17" t="n">
        <f aca="false">IFERROR(INDEX('Shift Master'!$D$5:$D$16,MATCH(G459,'Shift Master'!$A$5:$A$16,0)),"")</f>
        <v>0</v>
      </c>
      <c r="J459" s="16" t="n">
        <f aca="false">IFERROR(INDEX('Shift Master'!$E$5:$E$16,MATCH(G459,'Shift Master'!$A$5:$A$16,0)),"")</f>
        <v>0</v>
      </c>
      <c r="K459" s="16" t="n">
        <f aca="false">IFERROR(INDEX('Shift Master'!$G$5:$G$16,MATCH(G459,'Shift Master'!$A$5:$A$16,0)),0)</f>
        <v>0</v>
      </c>
      <c r="L459" s="16" t="s">
        <v>228</v>
      </c>
      <c r="M459" s="16" t="s">
        <v>229</v>
      </c>
      <c r="N459" s="16" t="str">
        <f aca="false">IF(COUNTIFS('Staffing Coverage'!$A$5:$A$12,E459,'Staffing Coverage'!$B$5:$B$12,G459)=0,"",IF(COUNTIFS($A$5:$A$10004,A459,$E$5:$E$10004,E459,$G$5:$G$10004,G459)&lt;INDEX('Staffing Coverage'!$C$5:$C$12,MATCH(1,('Staffing Coverage'!$A$5:$A$12=E459)*('Staffing Coverage'!$B$5:$B$12=G459),0)),"SHORT","OK"))</f>
        <v/>
      </c>
    </row>
    <row r="460" customFormat="false" ht="15" hidden="false" customHeight="false" outlineLevel="0" collapsed="false">
      <c r="A460" s="15" t="n">
        <v>46318</v>
      </c>
      <c r="B460" s="16" t="str">
        <f aca="false">TEXT(A460,"ddd")</f>
        <v>Fri</v>
      </c>
      <c r="C460" s="10" t="s">
        <v>200</v>
      </c>
      <c r="D460" s="16" t="str">
        <f aca="false">IFERROR(INDEX('Staff Master'!$B$5:$B$24,MATCH(C460,'Staff Master'!$A$5:$A$24,0)),"")</f>
        <v>Imran Sheikh</v>
      </c>
      <c r="E460" s="16" t="str">
        <f aca="false">IFERROR(INDEX('Staff Master'!$D$5:$D$24,MATCH(C460,'Staff Master'!$A$5:$A$24,0)),"")</f>
        <v>Dental Laboratory</v>
      </c>
      <c r="F460" s="16" t="str">
        <f aca="false">IFERROR(INDEX('Staff Master'!$E$5:$E$24,MATCH(C460,'Staff Master'!$A$5:$A$24,0)),"")</f>
        <v>Dental Technician</v>
      </c>
      <c r="G460" s="10" t="s">
        <v>87</v>
      </c>
      <c r="H460" s="17" t="n">
        <f aca="false">IFERROR(INDEX('Shift Master'!$C$5:$C$16,MATCH(G460,'Shift Master'!$A$5:$A$16,0)),"")</f>
        <v>0.333333333333333</v>
      </c>
      <c r="I460" s="17" t="n">
        <f aca="false">IFERROR(INDEX('Shift Master'!$D$5:$D$16,MATCH(G460,'Shift Master'!$A$5:$A$16,0)),"")</f>
        <v>0.708333333333333</v>
      </c>
      <c r="J460" s="16" t="n">
        <f aca="false">IFERROR(INDEX('Shift Master'!$E$5:$E$16,MATCH(G460,'Shift Master'!$A$5:$A$16,0)),"")</f>
        <v>60</v>
      </c>
      <c r="K460" s="16" t="n">
        <f aca="false">IFERROR(INDEX('Shift Master'!$G$5:$G$16,MATCH(G460,'Shift Master'!$A$5:$A$16,0)),0)</f>
        <v>8</v>
      </c>
      <c r="L460" s="16" t="s">
        <v>228</v>
      </c>
      <c r="M460" s="16" t="s">
        <v>229</v>
      </c>
      <c r="N460" s="16" t="str">
        <f aca="false">IF(COUNTIFS('Staffing Coverage'!$A$5:$A$12,E460,'Staffing Coverage'!$B$5:$B$12,G460)=0,"",IF(COUNTIFS($A$5:$A$10004,A460,$E$5:$E$10004,E460,$G$5:$G$10004,G460)&lt;INDEX('Staffing Coverage'!$C$5:$C$12,MATCH(1,('Staffing Coverage'!$A$5:$A$12=E460)*('Staffing Coverage'!$B$5:$B$12=G460),0)),"SHORT","OK"))</f>
        <v/>
      </c>
    </row>
    <row r="461" customFormat="false" ht="15" hidden="false" customHeight="false" outlineLevel="0" collapsed="false">
      <c r="A461" s="15" t="n">
        <v>46318</v>
      </c>
      <c r="B461" s="16" t="str">
        <f aca="false">TEXT(A461,"ddd")</f>
        <v>Fri</v>
      </c>
      <c r="C461" s="10" t="s">
        <v>204</v>
      </c>
      <c r="D461" s="16" t="str">
        <f aca="false">IFERROR(INDEX('Staff Master'!$B$5:$B$24,MATCH(C461,'Staff Master'!$A$5:$A$24,0)),"")</f>
        <v>Josephine Cruz</v>
      </c>
      <c r="E461" s="16" t="str">
        <f aca="false">IFERROR(INDEX('Staff Master'!$D$5:$D$24,MATCH(C461,'Staff Master'!$A$5:$A$24,0)),"")</f>
        <v>CSSD</v>
      </c>
      <c r="F461" s="16" t="str">
        <f aca="false">IFERROR(INDEX('Staff Master'!$E$5:$E$24,MATCH(C461,'Staff Master'!$A$5:$A$24,0)),"")</f>
        <v>CSSD Technician</v>
      </c>
      <c r="G461" s="10" t="s">
        <v>87</v>
      </c>
      <c r="H461" s="17" t="n">
        <f aca="false">IFERROR(INDEX('Shift Master'!$C$5:$C$16,MATCH(G461,'Shift Master'!$A$5:$A$16,0)),"")</f>
        <v>0.333333333333333</v>
      </c>
      <c r="I461" s="17" t="n">
        <f aca="false">IFERROR(INDEX('Shift Master'!$D$5:$D$16,MATCH(G461,'Shift Master'!$A$5:$A$16,0)),"")</f>
        <v>0.708333333333333</v>
      </c>
      <c r="J461" s="16" t="n">
        <f aca="false">IFERROR(INDEX('Shift Master'!$E$5:$E$16,MATCH(G461,'Shift Master'!$A$5:$A$16,0)),"")</f>
        <v>60</v>
      </c>
      <c r="K461" s="16" t="n">
        <f aca="false">IFERROR(INDEX('Shift Master'!$G$5:$G$16,MATCH(G461,'Shift Master'!$A$5:$A$16,0)),0)</f>
        <v>8</v>
      </c>
      <c r="L461" s="16" t="s">
        <v>228</v>
      </c>
      <c r="M461" s="16" t="s">
        <v>229</v>
      </c>
      <c r="N461" s="16" t="str">
        <f aca="false">IF(COUNTIFS('Staffing Coverage'!$A$5:$A$12,E461,'Staffing Coverage'!$B$5:$B$12,G461)=0,"",IF(COUNTIFS($A$5:$A$10004,A461,$E$5:$E$10004,E461,$G$5:$G$10004,G461)&lt;INDEX('Staffing Coverage'!$C$5:$C$12,MATCH(1,('Staffing Coverage'!$A$5:$A$12=E461)*('Staffing Coverage'!$B$5:$B$12=G461),0)),"SHORT","OK"))</f>
        <v>OK</v>
      </c>
    </row>
    <row r="462" customFormat="false" ht="15" hidden="false" customHeight="false" outlineLevel="0" collapsed="false">
      <c r="A462" s="15" t="n">
        <v>46318</v>
      </c>
      <c r="B462" s="16" t="str">
        <f aca="false">TEXT(A462,"ddd")</f>
        <v>Fri</v>
      </c>
      <c r="C462" s="10" t="s">
        <v>208</v>
      </c>
      <c r="D462" s="16" t="str">
        <f aca="false">IFERROR(INDEX('Staff Master'!$B$5:$B$24,MATCH(C462,'Staff Master'!$A$5:$A$24,0)),"")</f>
        <v>Rosalyn Tan</v>
      </c>
      <c r="E462" s="16" t="str">
        <f aca="false">IFERROR(INDEX('Staff Master'!$D$5:$D$24,MATCH(C462,'Staff Master'!$A$5:$A$24,0)),"")</f>
        <v>Cleaning</v>
      </c>
      <c r="F462" s="16" t="str">
        <f aca="false">IFERROR(INDEX('Staff Master'!$E$5:$E$24,MATCH(C462,'Staff Master'!$A$5:$A$24,0)),"")</f>
        <v>Cleaner</v>
      </c>
      <c r="G462" s="10" t="s">
        <v>87</v>
      </c>
      <c r="H462" s="17" t="n">
        <f aca="false">IFERROR(INDEX('Shift Master'!$C$5:$C$16,MATCH(G462,'Shift Master'!$A$5:$A$16,0)),"")</f>
        <v>0.333333333333333</v>
      </c>
      <c r="I462" s="17" t="n">
        <f aca="false">IFERROR(INDEX('Shift Master'!$D$5:$D$16,MATCH(G462,'Shift Master'!$A$5:$A$16,0)),"")</f>
        <v>0.708333333333333</v>
      </c>
      <c r="J462" s="16" t="n">
        <f aca="false">IFERROR(INDEX('Shift Master'!$E$5:$E$16,MATCH(G462,'Shift Master'!$A$5:$A$16,0)),"")</f>
        <v>60</v>
      </c>
      <c r="K462" s="16" t="n">
        <f aca="false">IFERROR(INDEX('Shift Master'!$G$5:$G$16,MATCH(G462,'Shift Master'!$A$5:$A$16,0)),0)</f>
        <v>8</v>
      </c>
      <c r="L462" s="16" t="s">
        <v>228</v>
      </c>
      <c r="M462" s="16" t="s">
        <v>229</v>
      </c>
      <c r="N462" s="16" t="str">
        <f aca="false">IF(COUNTIFS('Staffing Coverage'!$A$5:$A$12,E462,'Staffing Coverage'!$B$5:$B$12,G462)=0,"",IF(COUNTIFS($A$5:$A$10004,A462,$E$5:$E$10004,E462,$G$5:$G$10004,G462)&lt;INDEX('Staffing Coverage'!$C$5:$C$12,MATCH(1,('Staffing Coverage'!$A$5:$A$12=E462)*('Staffing Coverage'!$B$5:$B$12=G462),0)),"SHORT","OK"))</f>
        <v>OK</v>
      </c>
    </row>
    <row r="463" customFormat="false" ht="15" hidden="false" customHeight="false" outlineLevel="0" collapsed="false">
      <c r="A463" s="15" t="n">
        <v>46318</v>
      </c>
      <c r="B463" s="16" t="str">
        <f aca="false">TEXT(A463,"ddd")</f>
        <v>Fri</v>
      </c>
      <c r="C463" s="10" t="s">
        <v>212</v>
      </c>
      <c r="D463" s="16" t="str">
        <f aca="false">IFERROR(INDEX('Staff Master'!$B$5:$B$24,MATCH(C463,'Staff Master'!$A$5:$A$24,0)),"")</f>
        <v>Hassan Baig</v>
      </c>
      <c r="E463" s="16" t="str">
        <f aca="false">IFERROR(INDEX('Staff Master'!$D$5:$D$24,MATCH(C463,'Staff Master'!$A$5:$A$24,0)),"")</f>
        <v>Facilities</v>
      </c>
      <c r="F463" s="16" t="str">
        <f aca="false">IFERROR(INDEX('Staff Master'!$E$5:$E$24,MATCH(C463,'Staff Master'!$A$5:$A$24,0)),"")</f>
        <v>Facility Manager</v>
      </c>
      <c r="G463" s="10" t="s">
        <v>97</v>
      </c>
      <c r="H463" s="17" t="n">
        <f aca="false">IFERROR(INDEX('Shift Master'!$C$5:$C$16,MATCH(G463,'Shift Master'!$A$5:$A$16,0)),"")</f>
        <v>0</v>
      </c>
      <c r="I463" s="17" t="n">
        <f aca="false">IFERROR(INDEX('Shift Master'!$D$5:$D$16,MATCH(G463,'Shift Master'!$A$5:$A$16,0)),"")</f>
        <v>0</v>
      </c>
      <c r="J463" s="16" t="n">
        <f aca="false">IFERROR(INDEX('Shift Master'!$E$5:$E$16,MATCH(G463,'Shift Master'!$A$5:$A$16,0)),"")</f>
        <v>0</v>
      </c>
      <c r="K463" s="16" t="n">
        <f aca="false">IFERROR(INDEX('Shift Master'!$G$5:$G$16,MATCH(G463,'Shift Master'!$A$5:$A$16,0)),0)</f>
        <v>0</v>
      </c>
      <c r="L463" s="16" t="s">
        <v>228</v>
      </c>
      <c r="M463" s="16" t="s">
        <v>229</v>
      </c>
      <c r="N463" s="16" t="str">
        <f aca="false">IF(COUNTIFS('Staffing Coverage'!$A$5:$A$12,E463,'Staffing Coverage'!$B$5:$B$12,G463)=0,"",IF(COUNTIFS($A$5:$A$10004,A463,$E$5:$E$10004,E463,$G$5:$G$10004,G463)&lt;INDEX('Staffing Coverage'!$C$5:$C$12,MATCH(1,('Staffing Coverage'!$A$5:$A$12=E463)*('Staffing Coverage'!$B$5:$B$12=G463),0)),"SHORT","OK"))</f>
        <v/>
      </c>
    </row>
    <row r="464" customFormat="false" ht="15" hidden="false" customHeight="false" outlineLevel="0" collapsed="false">
      <c r="A464" s="15" t="n">
        <v>46318</v>
      </c>
      <c r="B464" s="16" t="str">
        <f aca="false">TEXT(A464,"ddd")</f>
        <v>Fri</v>
      </c>
      <c r="C464" s="10" t="s">
        <v>178</v>
      </c>
      <c r="D464" s="16" t="str">
        <f aca="false">IFERROR(INDEX('Staff Master'!$B$5:$B$24,MATCH(C464,'Staff Master'!$A$5:$A$24,0)),"")</f>
        <v>Meera Pillai</v>
      </c>
      <c r="E464" s="16" t="str">
        <f aca="false">IFERROR(INDEX('Staff Master'!$D$5:$D$24,MATCH(C464,'Staff Master'!$A$5:$A$24,0)),"")</f>
        <v>HR</v>
      </c>
      <c r="F464" s="16" t="str">
        <f aca="false">IFERROR(INDEX('Staff Master'!$E$5:$E$24,MATCH(C464,'Staff Master'!$A$5:$A$24,0)),"")</f>
        <v>HR Executive</v>
      </c>
      <c r="G464" s="10" t="s">
        <v>90</v>
      </c>
      <c r="H464" s="17" t="n">
        <f aca="false">IFERROR(INDEX('Shift Master'!$C$5:$C$16,MATCH(G464,'Shift Master'!$A$5:$A$16,0)),"")</f>
        <v>0.375</v>
      </c>
      <c r="I464" s="17" t="n">
        <f aca="false">IFERROR(INDEX('Shift Master'!$D$5:$D$16,MATCH(G464,'Shift Master'!$A$5:$A$16,0)),"")</f>
        <v>0.75</v>
      </c>
      <c r="J464" s="16" t="n">
        <f aca="false">IFERROR(INDEX('Shift Master'!$E$5:$E$16,MATCH(G464,'Shift Master'!$A$5:$A$16,0)),"")</f>
        <v>60</v>
      </c>
      <c r="K464" s="16" t="n">
        <f aca="false">IFERROR(INDEX('Shift Master'!$G$5:$G$16,MATCH(G464,'Shift Master'!$A$5:$A$16,0)),0)</f>
        <v>8</v>
      </c>
      <c r="L464" s="16" t="s">
        <v>228</v>
      </c>
      <c r="M464" s="16" t="s">
        <v>229</v>
      </c>
      <c r="N464" s="16" t="str">
        <f aca="false">IF(COUNTIFS('Staffing Coverage'!$A$5:$A$12,E464,'Staffing Coverage'!$B$5:$B$12,G464)=0,"",IF(COUNTIFS($A$5:$A$10004,A464,$E$5:$E$10004,E464,$G$5:$G$10004,G464)&lt;INDEX('Staffing Coverage'!$C$5:$C$12,MATCH(1,('Staffing Coverage'!$A$5:$A$12=E464)*('Staffing Coverage'!$B$5:$B$12=G464),0)),"SHORT","OK"))</f>
        <v/>
      </c>
    </row>
    <row r="465" customFormat="false" ht="15" hidden="false" customHeight="false" outlineLevel="0" collapsed="false">
      <c r="A465" s="15" t="n">
        <v>46319</v>
      </c>
      <c r="B465" s="16" t="str">
        <f aca="false">TEXT(A465,"ddd")</f>
        <v>Sat</v>
      </c>
      <c r="C465" s="10" t="s">
        <v>128</v>
      </c>
      <c r="D465" s="16" t="str">
        <f aca="false">IFERROR(INDEX('Staff Master'!$B$5:$B$24,MATCH(C465,'Staff Master'!$A$5:$A$24,0)),"")</f>
        <v>Rashid Al Nuaimi</v>
      </c>
      <c r="E465" s="16" t="str">
        <f aca="false">IFERROR(INDEX('Staff Master'!$D$5:$D$24,MATCH(C465,'Staff Master'!$A$5:$A$24,0)),"")</f>
        <v>Management</v>
      </c>
      <c r="F465" s="16" t="str">
        <f aca="false">IFERROR(INDEX('Staff Master'!$E$5:$E$24,MATCH(C465,'Staff Master'!$A$5:$A$24,0)),"")</f>
        <v>CEO</v>
      </c>
      <c r="G465" s="10" t="s">
        <v>97</v>
      </c>
      <c r="H465" s="17" t="n">
        <f aca="false">IFERROR(INDEX('Shift Master'!$C$5:$C$16,MATCH(G465,'Shift Master'!$A$5:$A$16,0)),"")</f>
        <v>0</v>
      </c>
      <c r="I465" s="17" t="n">
        <f aca="false">IFERROR(INDEX('Shift Master'!$D$5:$D$16,MATCH(G465,'Shift Master'!$A$5:$A$16,0)),"")</f>
        <v>0</v>
      </c>
      <c r="J465" s="16" t="n">
        <f aca="false">IFERROR(INDEX('Shift Master'!$E$5:$E$16,MATCH(G465,'Shift Master'!$A$5:$A$16,0)),"")</f>
        <v>0</v>
      </c>
      <c r="K465" s="16" t="n">
        <f aca="false">IFERROR(INDEX('Shift Master'!$G$5:$G$16,MATCH(G465,'Shift Master'!$A$5:$A$16,0)),0)</f>
        <v>0</v>
      </c>
      <c r="L465" s="16" t="s">
        <v>228</v>
      </c>
      <c r="M465" s="16" t="s">
        <v>229</v>
      </c>
      <c r="N465" s="16" t="str">
        <f aca="false">IF(COUNTIFS('Staffing Coverage'!$A$5:$A$12,E465,'Staffing Coverage'!$B$5:$B$12,G465)=0,"",IF(COUNTIFS($A$5:$A$10004,A465,$E$5:$E$10004,E465,$G$5:$G$10004,G465)&lt;INDEX('Staffing Coverage'!$C$5:$C$12,MATCH(1,('Staffing Coverage'!$A$5:$A$12=E465)*('Staffing Coverage'!$B$5:$B$12=G465),0)),"SHORT","OK"))</f>
        <v/>
      </c>
    </row>
    <row r="466" customFormat="false" ht="15" hidden="false" customHeight="false" outlineLevel="0" collapsed="false">
      <c r="A466" s="15" t="n">
        <v>46319</v>
      </c>
      <c r="B466" s="16" t="str">
        <f aca="false">TEXT(A466,"ddd")</f>
        <v>Sat</v>
      </c>
      <c r="C466" s="10" t="s">
        <v>137</v>
      </c>
      <c r="D466" s="16" t="str">
        <f aca="false">IFERROR(INDEX('Staff Master'!$B$5:$B$24,MATCH(C466,'Staff Master'!$A$5:$A$24,0)),"")</f>
        <v>Dr. Sara Haddad</v>
      </c>
      <c r="E466" s="16" t="str">
        <f aca="false">IFERROR(INDEX('Staff Master'!$D$5:$D$24,MATCH(C466,'Staff Master'!$A$5:$A$24,0)),"")</f>
        <v>General Practice</v>
      </c>
      <c r="F466" s="16" t="str">
        <f aca="false">IFERROR(INDEX('Staff Master'!$E$5:$E$24,MATCH(C466,'Staff Master'!$A$5:$A$24,0)),"")</f>
        <v>Medical Director</v>
      </c>
      <c r="G466" s="10" t="s">
        <v>96</v>
      </c>
      <c r="H466" s="17" t="n">
        <f aca="false">IFERROR(INDEX('Shift Master'!$C$5:$C$16,MATCH(G466,'Shift Master'!$A$5:$A$16,0)),"")</f>
        <v>0.375</v>
      </c>
      <c r="I466" s="17" t="n">
        <f aca="false">IFERROR(INDEX('Shift Master'!$D$5:$D$16,MATCH(G466,'Shift Master'!$A$5:$A$16,0)),"")</f>
        <v>0.708333333333333</v>
      </c>
      <c r="J466" s="16" t="n">
        <f aca="false">IFERROR(INDEX('Shift Master'!$E$5:$E$16,MATCH(G466,'Shift Master'!$A$5:$A$16,0)),"")</f>
        <v>60</v>
      </c>
      <c r="K466" s="16" t="n">
        <f aca="false">IFERROR(INDEX('Shift Master'!$G$5:$G$16,MATCH(G466,'Shift Master'!$A$5:$A$16,0)),0)</f>
        <v>7</v>
      </c>
      <c r="L466" s="16" t="s">
        <v>228</v>
      </c>
      <c r="M466" s="16" t="s">
        <v>229</v>
      </c>
      <c r="N466" s="16" t="str">
        <f aca="false">IF(COUNTIFS('Staffing Coverage'!$A$5:$A$12,E466,'Staffing Coverage'!$B$5:$B$12,G466)=0,"",IF(COUNTIFS($A$5:$A$10004,A466,$E$5:$E$10004,E466,$G$5:$G$10004,G466)&lt;INDEX('Staffing Coverage'!$C$5:$C$12,MATCH(1,('Staffing Coverage'!$A$5:$A$12=E466)*('Staffing Coverage'!$B$5:$B$12=G466),0)),"SHORT","OK"))</f>
        <v/>
      </c>
    </row>
    <row r="467" customFormat="false" ht="15" hidden="false" customHeight="false" outlineLevel="0" collapsed="false">
      <c r="A467" s="15" t="n">
        <v>46319</v>
      </c>
      <c r="B467" s="16" t="str">
        <f aca="false">TEXT(A467,"ddd")</f>
        <v>Sat</v>
      </c>
      <c r="C467" s="10" t="s">
        <v>142</v>
      </c>
      <c r="D467" s="16" t="str">
        <f aca="false">IFERROR(INDEX('Staff Master'!$B$5:$B$24,MATCH(C467,'Staff Master'!$A$5:$A$24,0)),"")</f>
        <v>Dr. Omar Khalil</v>
      </c>
      <c r="E467" s="16" t="str">
        <f aca="false">IFERROR(INDEX('Staff Master'!$D$5:$D$24,MATCH(C467,'Staff Master'!$A$5:$A$24,0)),"")</f>
        <v>General Practice</v>
      </c>
      <c r="F467" s="16" t="str">
        <f aca="false">IFERROR(INDEX('Staff Master'!$E$5:$E$24,MATCH(C467,'Staff Master'!$A$5:$A$24,0)),"")</f>
        <v>Doctor</v>
      </c>
      <c r="G467" s="10" t="s">
        <v>97</v>
      </c>
      <c r="H467" s="17" t="n">
        <f aca="false">IFERROR(INDEX('Shift Master'!$C$5:$C$16,MATCH(G467,'Shift Master'!$A$5:$A$16,0)),"")</f>
        <v>0</v>
      </c>
      <c r="I467" s="17" t="n">
        <f aca="false">IFERROR(INDEX('Shift Master'!$D$5:$D$16,MATCH(G467,'Shift Master'!$A$5:$A$16,0)),"")</f>
        <v>0</v>
      </c>
      <c r="J467" s="16" t="n">
        <f aca="false">IFERROR(INDEX('Shift Master'!$E$5:$E$16,MATCH(G467,'Shift Master'!$A$5:$A$16,0)),"")</f>
        <v>0</v>
      </c>
      <c r="K467" s="16" t="n">
        <f aca="false">IFERROR(INDEX('Shift Master'!$G$5:$G$16,MATCH(G467,'Shift Master'!$A$5:$A$16,0)),0)</f>
        <v>0</v>
      </c>
      <c r="L467" s="16" t="s">
        <v>228</v>
      </c>
      <c r="M467" s="16" t="s">
        <v>229</v>
      </c>
      <c r="N467" s="16" t="str">
        <f aca="false">IF(COUNTIFS('Staffing Coverage'!$A$5:$A$12,E467,'Staffing Coverage'!$B$5:$B$12,G467)=0,"",IF(COUNTIFS($A$5:$A$10004,A467,$E$5:$E$10004,E467,$G$5:$G$10004,G467)&lt;INDEX('Staffing Coverage'!$C$5:$C$12,MATCH(1,('Staffing Coverage'!$A$5:$A$12=E467)*('Staffing Coverage'!$B$5:$B$12=G467),0)),"SHORT","OK"))</f>
        <v/>
      </c>
    </row>
    <row r="468" customFormat="false" ht="15" hidden="false" customHeight="false" outlineLevel="0" collapsed="false">
      <c r="A468" s="15" t="n">
        <v>46319</v>
      </c>
      <c r="B468" s="16" t="str">
        <f aca="false">TEXT(A468,"ddd")</f>
        <v>Sat</v>
      </c>
      <c r="C468" s="10" t="s">
        <v>146</v>
      </c>
      <c r="D468" s="16" t="str">
        <f aca="false">IFERROR(INDEX('Staff Master'!$B$5:$B$24,MATCH(C468,'Staff Master'!$A$5:$A$24,0)),"")</f>
        <v>Dr. Lina Abboud</v>
      </c>
      <c r="E468" s="16" t="str">
        <f aca="false">IFERROR(INDEX('Staff Master'!$D$5:$D$24,MATCH(C468,'Staff Master'!$A$5:$A$24,0)),"")</f>
        <v>Dental</v>
      </c>
      <c r="F468" s="16" t="str">
        <f aca="false">IFERROR(INDEX('Staff Master'!$E$5:$E$24,MATCH(C468,'Staff Master'!$A$5:$A$24,0)),"")</f>
        <v>Dentist</v>
      </c>
      <c r="G468" s="10" t="s">
        <v>96</v>
      </c>
      <c r="H468" s="17" t="n">
        <f aca="false">IFERROR(INDEX('Shift Master'!$C$5:$C$16,MATCH(G468,'Shift Master'!$A$5:$A$16,0)),"")</f>
        <v>0.375</v>
      </c>
      <c r="I468" s="17" t="n">
        <f aca="false">IFERROR(INDEX('Shift Master'!$D$5:$D$16,MATCH(G468,'Shift Master'!$A$5:$A$16,0)),"")</f>
        <v>0.708333333333333</v>
      </c>
      <c r="J468" s="16" t="n">
        <f aca="false">IFERROR(INDEX('Shift Master'!$E$5:$E$16,MATCH(G468,'Shift Master'!$A$5:$A$16,0)),"")</f>
        <v>60</v>
      </c>
      <c r="K468" s="16" t="n">
        <f aca="false">IFERROR(INDEX('Shift Master'!$G$5:$G$16,MATCH(G468,'Shift Master'!$A$5:$A$16,0)),0)</f>
        <v>7</v>
      </c>
      <c r="L468" s="16" t="s">
        <v>228</v>
      </c>
      <c r="M468" s="16" t="s">
        <v>229</v>
      </c>
      <c r="N468" s="16" t="str">
        <f aca="false">IF(COUNTIFS('Staffing Coverage'!$A$5:$A$12,E468,'Staffing Coverage'!$B$5:$B$12,G468)=0,"",IF(COUNTIFS($A$5:$A$10004,A468,$E$5:$E$10004,E468,$G$5:$G$10004,G468)&lt;INDEX('Staffing Coverage'!$C$5:$C$12,MATCH(1,('Staffing Coverage'!$A$5:$A$12=E468)*('Staffing Coverage'!$B$5:$B$12=G468),0)),"SHORT","OK"))</f>
        <v/>
      </c>
    </row>
    <row r="469" customFormat="false" ht="15" hidden="false" customHeight="false" outlineLevel="0" collapsed="false">
      <c r="A469" s="15" t="n">
        <v>46319</v>
      </c>
      <c r="B469" s="16" t="str">
        <f aca="false">TEXT(A469,"ddd")</f>
        <v>Sat</v>
      </c>
      <c r="C469" s="10" t="s">
        <v>150</v>
      </c>
      <c r="D469" s="16" t="str">
        <f aca="false">IFERROR(INDEX('Staff Master'!$B$5:$B$24,MATCH(C469,'Staff Master'!$A$5:$A$24,0)),"")</f>
        <v>Dr. Farah Idris</v>
      </c>
      <c r="E469" s="16" t="str">
        <f aca="false">IFERROR(INDEX('Staff Master'!$D$5:$D$24,MATCH(C469,'Staff Master'!$A$5:$A$24,0)),"")</f>
        <v>Dental</v>
      </c>
      <c r="F469" s="16" t="str">
        <f aca="false">IFERROR(INDEX('Staff Master'!$E$5:$E$24,MATCH(C469,'Staff Master'!$A$5:$A$24,0)),"")</f>
        <v>Dentist</v>
      </c>
      <c r="G469" s="10" t="s">
        <v>96</v>
      </c>
      <c r="H469" s="17" t="n">
        <f aca="false">IFERROR(INDEX('Shift Master'!$C$5:$C$16,MATCH(G469,'Shift Master'!$A$5:$A$16,0)),"")</f>
        <v>0.375</v>
      </c>
      <c r="I469" s="17" t="n">
        <f aca="false">IFERROR(INDEX('Shift Master'!$D$5:$D$16,MATCH(G469,'Shift Master'!$A$5:$A$16,0)),"")</f>
        <v>0.708333333333333</v>
      </c>
      <c r="J469" s="16" t="n">
        <f aca="false">IFERROR(INDEX('Shift Master'!$E$5:$E$16,MATCH(G469,'Shift Master'!$A$5:$A$16,0)),"")</f>
        <v>60</v>
      </c>
      <c r="K469" s="16" t="n">
        <f aca="false">IFERROR(INDEX('Shift Master'!$G$5:$G$16,MATCH(G469,'Shift Master'!$A$5:$A$16,0)),0)</f>
        <v>7</v>
      </c>
      <c r="L469" s="16" t="s">
        <v>228</v>
      </c>
      <c r="M469" s="16" t="s">
        <v>229</v>
      </c>
      <c r="N469" s="16" t="str">
        <f aca="false">IF(COUNTIFS('Staffing Coverage'!$A$5:$A$12,E469,'Staffing Coverage'!$B$5:$B$12,G469)=0,"",IF(COUNTIFS($A$5:$A$10004,A469,$E$5:$E$10004,E469,$G$5:$G$10004,G469)&lt;INDEX('Staffing Coverage'!$C$5:$C$12,MATCH(1,('Staffing Coverage'!$A$5:$A$12=E469)*('Staffing Coverage'!$B$5:$B$12=G469),0)),"SHORT","OK"))</f>
        <v/>
      </c>
    </row>
    <row r="470" customFormat="false" ht="15" hidden="false" customHeight="false" outlineLevel="0" collapsed="false">
      <c r="A470" s="15" t="n">
        <v>46319</v>
      </c>
      <c r="B470" s="16" t="str">
        <f aca="false">TEXT(A470,"ddd")</f>
        <v>Sat</v>
      </c>
      <c r="C470" s="10" t="s">
        <v>157</v>
      </c>
      <c r="D470" s="16" t="str">
        <f aca="false">IFERROR(INDEX('Staff Master'!$B$5:$B$24,MATCH(C470,'Staff Master'!$A$5:$A$24,0)),"")</f>
        <v>Dr. Youssef Nassar</v>
      </c>
      <c r="E470" s="16" t="str">
        <f aca="false">IFERROR(INDEX('Staff Master'!$D$5:$D$24,MATCH(C470,'Staff Master'!$A$5:$A$24,0)),"")</f>
        <v>General Practice</v>
      </c>
      <c r="F470" s="16" t="str">
        <f aca="false">IFERROR(INDEX('Staff Master'!$E$5:$E$24,MATCH(C470,'Staff Master'!$A$5:$A$24,0)),"")</f>
        <v>General Practitioner</v>
      </c>
      <c r="G470" s="10" t="s">
        <v>97</v>
      </c>
      <c r="H470" s="17" t="n">
        <f aca="false">IFERROR(INDEX('Shift Master'!$C$5:$C$16,MATCH(G470,'Shift Master'!$A$5:$A$16,0)),"")</f>
        <v>0</v>
      </c>
      <c r="I470" s="17" t="n">
        <f aca="false">IFERROR(INDEX('Shift Master'!$D$5:$D$16,MATCH(G470,'Shift Master'!$A$5:$A$16,0)),"")</f>
        <v>0</v>
      </c>
      <c r="J470" s="16" t="n">
        <f aca="false">IFERROR(INDEX('Shift Master'!$E$5:$E$16,MATCH(G470,'Shift Master'!$A$5:$A$16,0)),"")</f>
        <v>0</v>
      </c>
      <c r="K470" s="16" t="n">
        <f aca="false">IFERROR(INDEX('Shift Master'!$G$5:$G$16,MATCH(G470,'Shift Master'!$A$5:$A$16,0)),0)</f>
        <v>0</v>
      </c>
      <c r="L470" s="16" t="s">
        <v>228</v>
      </c>
      <c r="M470" s="16" t="s">
        <v>229</v>
      </c>
      <c r="N470" s="16" t="str">
        <f aca="false">IF(COUNTIFS('Staffing Coverage'!$A$5:$A$12,E470,'Staffing Coverage'!$B$5:$B$12,G470)=0,"",IF(COUNTIFS($A$5:$A$10004,A470,$E$5:$E$10004,E470,$G$5:$G$10004,G470)&lt;INDEX('Staffing Coverage'!$C$5:$C$12,MATCH(1,('Staffing Coverage'!$A$5:$A$12=E470)*('Staffing Coverage'!$B$5:$B$12=G470),0)),"SHORT","OK"))</f>
        <v/>
      </c>
    </row>
    <row r="471" customFormat="false" ht="15" hidden="false" customHeight="false" outlineLevel="0" collapsed="false">
      <c r="A471" s="15" t="n">
        <v>46319</v>
      </c>
      <c r="B471" s="16" t="str">
        <f aca="false">TEXT(A471,"ddd")</f>
        <v>Sat</v>
      </c>
      <c r="C471" s="10" t="s">
        <v>161</v>
      </c>
      <c r="D471" s="16" t="str">
        <f aca="false">IFERROR(INDEX('Staff Master'!$B$5:$B$24,MATCH(C471,'Staff Master'!$A$5:$A$24,0)),"")</f>
        <v>Grace Fernandez</v>
      </c>
      <c r="E471" s="16" t="str">
        <f aca="false">IFERROR(INDEX('Staff Master'!$D$5:$D$24,MATCH(C471,'Staff Master'!$A$5:$A$24,0)),"")</f>
        <v>Nursing</v>
      </c>
      <c r="F471" s="16" t="str">
        <f aca="false">IFERROR(INDEX('Staff Master'!$E$5:$E$24,MATCH(C471,'Staff Master'!$A$5:$A$24,0)),"")</f>
        <v>Nurse</v>
      </c>
      <c r="G471" s="10" t="s">
        <v>87</v>
      </c>
      <c r="H471" s="17" t="n">
        <f aca="false">IFERROR(INDEX('Shift Master'!$C$5:$C$16,MATCH(G471,'Shift Master'!$A$5:$A$16,0)),"")</f>
        <v>0.333333333333333</v>
      </c>
      <c r="I471" s="17" t="n">
        <f aca="false">IFERROR(INDEX('Shift Master'!$D$5:$D$16,MATCH(G471,'Shift Master'!$A$5:$A$16,0)),"")</f>
        <v>0.708333333333333</v>
      </c>
      <c r="J471" s="16" t="n">
        <f aca="false">IFERROR(INDEX('Shift Master'!$E$5:$E$16,MATCH(G471,'Shift Master'!$A$5:$A$16,0)),"")</f>
        <v>60</v>
      </c>
      <c r="K471" s="16" t="n">
        <f aca="false">IFERROR(INDEX('Shift Master'!$G$5:$G$16,MATCH(G471,'Shift Master'!$A$5:$A$16,0)),0)</f>
        <v>8</v>
      </c>
      <c r="L471" s="16" t="s">
        <v>228</v>
      </c>
      <c r="M471" s="16" t="s">
        <v>229</v>
      </c>
      <c r="N471" s="16" t="str">
        <f aca="false">IF(COUNTIFS('Staffing Coverage'!$A$5:$A$12,E471,'Staffing Coverage'!$B$5:$B$12,G471)=0,"",IF(COUNTIFS($A$5:$A$10004,A471,$E$5:$E$10004,E471,$G$5:$G$10004,G471)&lt;INDEX('Staffing Coverage'!$C$5:$C$12,MATCH(1,('Staffing Coverage'!$A$5:$A$12=E471)*('Staffing Coverage'!$B$5:$B$12=G471),0)),"SHORT","OK"))</f>
        <v>OK</v>
      </c>
    </row>
    <row r="472" customFormat="false" ht="15" hidden="false" customHeight="false" outlineLevel="0" collapsed="false">
      <c r="A472" s="15" t="n">
        <v>46319</v>
      </c>
      <c r="B472" s="16" t="str">
        <f aca="false">TEXT(A472,"ddd")</f>
        <v>Sat</v>
      </c>
      <c r="C472" s="10" t="s">
        <v>165</v>
      </c>
      <c r="D472" s="16" t="str">
        <f aca="false">IFERROR(INDEX('Staff Master'!$B$5:$B$24,MATCH(C472,'Staff Master'!$A$5:$A$24,0)),"")</f>
        <v>Priya Nair</v>
      </c>
      <c r="E472" s="16" t="str">
        <f aca="false">IFERROR(INDEX('Staff Master'!$D$5:$D$24,MATCH(C472,'Staff Master'!$A$5:$A$24,0)),"")</f>
        <v>Nursing</v>
      </c>
      <c r="F472" s="16" t="str">
        <f aca="false">IFERROR(INDEX('Staff Master'!$E$5:$E$24,MATCH(C472,'Staff Master'!$A$5:$A$24,0)),"")</f>
        <v>Nurse</v>
      </c>
      <c r="G472" s="10" t="s">
        <v>90</v>
      </c>
      <c r="H472" s="17" t="n">
        <f aca="false">IFERROR(INDEX('Shift Master'!$C$5:$C$16,MATCH(G472,'Shift Master'!$A$5:$A$16,0)),"")</f>
        <v>0.375</v>
      </c>
      <c r="I472" s="17" t="n">
        <f aca="false">IFERROR(INDEX('Shift Master'!$D$5:$D$16,MATCH(G472,'Shift Master'!$A$5:$A$16,0)),"")</f>
        <v>0.75</v>
      </c>
      <c r="J472" s="16" t="n">
        <f aca="false">IFERROR(INDEX('Shift Master'!$E$5:$E$16,MATCH(G472,'Shift Master'!$A$5:$A$16,0)),"")</f>
        <v>60</v>
      </c>
      <c r="K472" s="16" t="n">
        <f aca="false">IFERROR(INDEX('Shift Master'!$G$5:$G$16,MATCH(G472,'Shift Master'!$A$5:$A$16,0)),0)</f>
        <v>8</v>
      </c>
      <c r="L472" s="16" t="s">
        <v>228</v>
      </c>
      <c r="M472" s="16" t="s">
        <v>229</v>
      </c>
      <c r="N472" s="16" t="str">
        <f aca="false">IF(COUNTIFS('Staffing Coverage'!$A$5:$A$12,E472,'Staffing Coverage'!$B$5:$B$12,G472)=0,"",IF(COUNTIFS($A$5:$A$10004,A472,$E$5:$E$10004,E472,$G$5:$G$10004,G472)&lt;INDEX('Staffing Coverage'!$C$5:$C$12,MATCH(1,('Staffing Coverage'!$A$5:$A$12=E472)*('Staffing Coverage'!$B$5:$B$12=G472),0)),"SHORT","OK"))</f>
        <v>OK</v>
      </c>
    </row>
    <row r="473" customFormat="false" ht="15" hidden="false" customHeight="false" outlineLevel="0" collapsed="false">
      <c r="A473" s="15" t="n">
        <v>46319</v>
      </c>
      <c r="B473" s="16" t="str">
        <f aca="false">TEXT(A473,"ddd")</f>
        <v>Sat</v>
      </c>
      <c r="C473" s="10" t="s">
        <v>170</v>
      </c>
      <c r="D473" s="16" t="str">
        <f aca="false">IFERROR(INDEX('Staff Master'!$B$5:$B$24,MATCH(C473,'Staff Master'!$A$5:$A$24,0)),"")</f>
        <v>Maria Santos</v>
      </c>
      <c r="E473" s="16" t="str">
        <f aca="false">IFERROR(INDEX('Staff Master'!$D$5:$D$24,MATCH(C473,'Staff Master'!$A$5:$A$24,0)),"")</f>
        <v>Nursing</v>
      </c>
      <c r="F473" s="16" t="str">
        <f aca="false">IFERROR(INDEX('Staff Master'!$E$5:$E$24,MATCH(C473,'Staff Master'!$A$5:$A$24,0)),"")</f>
        <v>Nurse</v>
      </c>
      <c r="G473" s="10" t="s">
        <v>97</v>
      </c>
      <c r="H473" s="17" t="n">
        <f aca="false">IFERROR(INDEX('Shift Master'!$C$5:$C$16,MATCH(G473,'Shift Master'!$A$5:$A$16,0)),"")</f>
        <v>0</v>
      </c>
      <c r="I473" s="17" t="n">
        <f aca="false">IFERROR(INDEX('Shift Master'!$D$5:$D$16,MATCH(G473,'Shift Master'!$A$5:$A$16,0)),"")</f>
        <v>0</v>
      </c>
      <c r="J473" s="16" t="n">
        <f aca="false">IFERROR(INDEX('Shift Master'!$E$5:$E$16,MATCH(G473,'Shift Master'!$A$5:$A$16,0)),"")</f>
        <v>0</v>
      </c>
      <c r="K473" s="16" t="n">
        <f aca="false">IFERROR(INDEX('Shift Master'!$G$5:$G$16,MATCH(G473,'Shift Master'!$A$5:$A$16,0)),0)</f>
        <v>0</v>
      </c>
      <c r="L473" s="16" t="s">
        <v>228</v>
      </c>
      <c r="M473" s="16" t="s">
        <v>229</v>
      </c>
      <c r="N473" s="16" t="str">
        <f aca="false">IF(COUNTIFS('Staffing Coverage'!$A$5:$A$12,E473,'Staffing Coverage'!$B$5:$B$12,G473)=0,"",IF(COUNTIFS($A$5:$A$10004,A473,$E$5:$E$10004,E473,$G$5:$G$10004,G473)&lt;INDEX('Staffing Coverage'!$C$5:$C$12,MATCH(1,('Staffing Coverage'!$A$5:$A$12=E473)*('Staffing Coverage'!$B$5:$B$12=G473),0)),"SHORT","OK"))</f>
        <v/>
      </c>
    </row>
    <row r="474" customFormat="false" ht="15" hidden="false" customHeight="false" outlineLevel="0" collapsed="false">
      <c r="A474" s="15" t="n">
        <v>46319</v>
      </c>
      <c r="B474" s="16" t="str">
        <f aca="false">TEXT(A474,"ddd")</f>
        <v>Sat</v>
      </c>
      <c r="C474" s="10" t="s">
        <v>174</v>
      </c>
      <c r="D474" s="16" t="str">
        <f aca="false">IFERROR(INDEX('Staff Master'!$B$5:$B$24,MATCH(C474,'Staff Master'!$A$5:$A$24,0)),"")</f>
        <v>Aisha Al Shamsi</v>
      </c>
      <c r="E474" s="16" t="str">
        <f aca="false">IFERROR(INDEX('Staff Master'!$D$5:$D$24,MATCH(C474,'Staff Master'!$A$5:$A$24,0)),"")</f>
        <v>Reception</v>
      </c>
      <c r="F474" s="16" t="str">
        <f aca="false">IFERROR(INDEX('Staff Master'!$E$5:$E$24,MATCH(C474,'Staff Master'!$A$5:$A$24,0)),"")</f>
        <v>Receptionist</v>
      </c>
      <c r="G474" s="10" t="s">
        <v>87</v>
      </c>
      <c r="H474" s="17" t="n">
        <f aca="false">IFERROR(INDEX('Shift Master'!$C$5:$C$16,MATCH(G474,'Shift Master'!$A$5:$A$16,0)),"")</f>
        <v>0.333333333333333</v>
      </c>
      <c r="I474" s="17" t="n">
        <f aca="false">IFERROR(INDEX('Shift Master'!$D$5:$D$16,MATCH(G474,'Shift Master'!$A$5:$A$16,0)),"")</f>
        <v>0.708333333333333</v>
      </c>
      <c r="J474" s="16" t="n">
        <f aca="false">IFERROR(INDEX('Shift Master'!$E$5:$E$16,MATCH(G474,'Shift Master'!$A$5:$A$16,0)),"")</f>
        <v>60</v>
      </c>
      <c r="K474" s="16" t="n">
        <f aca="false">IFERROR(INDEX('Shift Master'!$G$5:$G$16,MATCH(G474,'Shift Master'!$A$5:$A$16,0)),0)</f>
        <v>8</v>
      </c>
      <c r="L474" s="16" t="s">
        <v>228</v>
      </c>
      <c r="M474" s="16" t="s">
        <v>229</v>
      </c>
      <c r="N474" s="16" t="str">
        <f aca="false">IF(COUNTIFS('Staffing Coverage'!$A$5:$A$12,E474,'Staffing Coverage'!$B$5:$B$12,G474)=0,"",IF(COUNTIFS($A$5:$A$10004,A474,$E$5:$E$10004,E474,$G$5:$G$10004,G474)&lt;INDEX('Staffing Coverage'!$C$5:$C$12,MATCH(1,('Staffing Coverage'!$A$5:$A$12=E474)*('Staffing Coverage'!$B$5:$B$12=G474),0)),"SHORT","OK"))</f>
        <v>SHORT</v>
      </c>
    </row>
    <row r="475" customFormat="false" ht="15" hidden="false" customHeight="false" outlineLevel="0" collapsed="false">
      <c r="A475" s="15" t="n">
        <v>46319</v>
      </c>
      <c r="B475" s="16" t="str">
        <f aca="false">TEXT(A475,"ddd")</f>
        <v>Sat</v>
      </c>
      <c r="C475" s="10" t="s">
        <v>179</v>
      </c>
      <c r="D475" s="16" t="str">
        <f aca="false">IFERROR(INDEX('Staff Master'!$B$5:$B$24,MATCH(C475,'Staff Master'!$A$5:$A$24,0)),"")</f>
        <v>John Dsouza</v>
      </c>
      <c r="E475" s="16" t="str">
        <f aca="false">IFERROR(INDEX('Staff Master'!$D$5:$D$24,MATCH(C475,'Staff Master'!$A$5:$A$24,0)),"")</f>
        <v>Reception</v>
      </c>
      <c r="F475" s="16" t="str">
        <f aca="false">IFERROR(INDEX('Staff Master'!$E$5:$E$24,MATCH(C475,'Staff Master'!$A$5:$A$24,0)),"")</f>
        <v>Receptionist</v>
      </c>
      <c r="G475" s="10" t="s">
        <v>90</v>
      </c>
      <c r="H475" s="17" t="n">
        <f aca="false">IFERROR(INDEX('Shift Master'!$C$5:$C$16,MATCH(G475,'Shift Master'!$A$5:$A$16,0)),"")</f>
        <v>0.375</v>
      </c>
      <c r="I475" s="17" t="n">
        <f aca="false">IFERROR(INDEX('Shift Master'!$D$5:$D$16,MATCH(G475,'Shift Master'!$A$5:$A$16,0)),"")</f>
        <v>0.75</v>
      </c>
      <c r="J475" s="16" t="n">
        <f aca="false">IFERROR(INDEX('Shift Master'!$E$5:$E$16,MATCH(G475,'Shift Master'!$A$5:$A$16,0)),"")</f>
        <v>60</v>
      </c>
      <c r="K475" s="16" t="n">
        <f aca="false">IFERROR(INDEX('Shift Master'!$G$5:$G$16,MATCH(G475,'Shift Master'!$A$5:$A$16,0)),0)</f>
        <v>8</v>
      </c>
      <c r="L475" s="16" t="s">
        <v>228</v>
      </c>
      <c r="M475" s="16" t="s">
        <v>229</v>
      </c>
      <c r="N475" s="16" t="str">
        <f aca="false">IF(COUNTIFS('Staffing Coverage'!$A$5:$A$12,E475,'Staffing Coverage'!$B$5:$B$12,G475)=0,"",IF(COUNTIFS($A$5:$A$10004,A475,$E$5:$E$10004,E475,$G$5:$G$10004,G475)&lt;INDEX('Staffing Coverage'!$C$5:$C$12,MATCH(1,('Staffing Coverage'!$A$5:$A$12=E475)*('Staffing Coverage'!$B$5:$B$12=G475),0)),"SHORT","OK"))</f>
        <v>SHORT</v>
      </c>
    </row>
    <row r="476" customFormat="false" ht="15" hidden="false" customHeight="false" outlineLevel="0" collapsed="false">
      <c r="A476" s="15" t="n">
        <v>46319</v>
      </c>
      <c r="B476" s="16" t="str">
        <f aca="false">TEXT(A476,"ddd")</f>
        <v>Sat</v>
      </c>
      <c r="C476" s="10" t="s">
        <v>184</v>
      </c>
      <c r="D476" s="16" t="str">
        <f aca="false">IFERROR(INDEX('Staff Master'!$B$5:$B$24,MATCH(C476,'Staff Master'!$A$5:$A$24,0)),"")</f>
        <v>Fatima Zahra</v>
      </c>
      <c r="E476" s="16" t="str">
        <f aca="false">IFERROR(INDEX('Staff Master'!$D$5:$D$24,MATCH(C476,'Staff Master'!$A$5:$A$24,0)),"")</f>
        <v>Reception</v>
      </c>
      <c r="F476" s="16" t="str">
        <f aca="false">IFERROR(INDEX('Staff Master'!$E$5:$E$24,MATCH(C476,'Staff Master'!$A$5:$A$24,0)),"")</f>
        <v>Receptionist</v>
      </c>
      <c r="G476" s="10" t="s">
        <v>97</v>
      </c>
      <c r="H476" s="17" t="n">
        <f aca="false">IFERROR(INDEX('Shift Master'!$C$5:$C$16,MATCH(G476,'Shift Master'!$A$5:$A$16,0)),"")</f>
        <v>0</v>
      </c>
      <c r="I476" s="17" t="n">
        <f aca="false">IFERROR(INDEX('Shift Master'!$D$5:$D$16,MATCH(G476,'Shift Master'!$A$5:$A$16,0)),"")</f>
        <v>0</v>
      </c>
      <c r="J476" s="16" t="n">
        <f aca="false">IFERROR(INDEX('Shift Master'!$E$5:$E$16,MATCH(G476,'Shift Master'!$A$5:$A$16,0)),"")</f>
        <v>0</v>
      </c>
      <c r="K476" s="16" t="n">
        <f aca="false">IFERROR(INDEX('Shift Master'!$G$5:$G$16,MATCH(G476,'Shift Master'!$A$5:$A$16,0)),0)</f>
        <v>0</v>
      </c>
      <c r="L476" s="16" t="s">
        <v>228</v>
      </c>
      <c r="M476" s="16" t="s">
        <v>229</v>
      </c>
      <c r="N476" s="16" t="str">
        <f aca="false">IF(COUNTIFS('Staffing Coverage'!$A$5:$A$12,E476,'Staffing Coverage'!$B$5:$B$12,G476)=0,"",IF(COUNTIFS($A$5:$A$10004,A476,$E$5:$E$10004,E476,$G$5:$G$10004,G476)&lt;INDEX('Staffing Coverage'!$C$5:$C$12,MATCH(1,('Staffing Coverage'!$A$5:$A$12=E476)*('Staffing Coverage'!$B$5:$B$12=G476),0)),"SHORT","OK"))</f>
        <v/>
      </c>
    </row>
    <row r="477" customFormat="false" ht="15" hidden="false" customHeight="false" outlineLevel="0" collapsed="false">
      <c r="A477" s="15" t="n">
        <v>46319</v>
      </c>
      <c r="B477" s="16" t="str">
        <f aca="false">TEXT(A477,"ddd")</f>
        <v>Sat</v>
      </c>
      <c r="C477" s="10" t="s">
        <v>188</v>
      </c>
      <c r="D477" s="16" t="str">
        <f aca="false">IFERROR(INDEX('Staff Master'!$B$5:$B$24,MATCH(C477,'Staff Master'!$A$5:$A$24,0)),"")</f>
        <v>Ana Reyes</v>
      </c>
      <c r="E477" s="16" t="str">
        <f aca="false">IFERROR(INDEX('Staff Master'!$D$5:$D$24,MATCH(C477,'Staff Master'!$A$5:$A$24,0)),"")</f>
        <v>Dental</v>
      </c>
      <c r="F477" s="16" t="str">
        <f aca="false">IFERROR(INDEX('Staff Master'!$E$5:$E$24,MATCH(C477,'Staff Master'!$A$5:$A$24,0)),"")</f>
        <v>Dental Assistant</v>
      </c>
      <c r="G477" s="10" t="s">
        <v>87</v>
      </c>
      <c r="H477" s="17" t="n">
        <f aca="false">IFERROR(INDEX('Shift Master'!$C$5:$C$16,MATCH(G477,'Shift Master'!$A$5:$A$16,0)),"")</f>
        <v>0.333333333333333</v>
      </c>
      <c r="I477" s="17" t="n">
        <f aca="false">IFERROR(INDEX('Shift Master'!$D$5:$D$16,MATCH(G477,'Shift Master'!$A$5:$A$16,0)),"")</f>
        <v>0.708333333333333</v>
      </c>
      <c r="J477" s="16" t="n">
        <f aca="false">IFERROR(INDEX('Shift Master'!$E$5:$E$16,MATCH(G477,'Shift Master'!$A$5:$A$16,0)),"")</f>
        <v>60</v>
      </c>
      <c r="K477" s="16" t="n">
        <f aca="false">IFERROR(INDEX('Shift Master'!$G$5:$G$16,MATCH(G477,'Shift Master'!$A$5:$A$16,0)),0)</f>
        <v>8</v>
      </c>
      <c r="L477" s="16" t="s">
        <v>228</v>
      </c>
      <c r="M477" s="16" t="s">
        <v>229</v>
      </c>
      <c r="N477" s="16" t="str">
        <f aca="false">IF(COUNTIFS('Staffing Coverage'!$A$5:$A$12,E477,'Staffing Coverage'!$B$5:$B$12,G477)=0,"",IF(COUNTIFS($A$5:$A$10004,A477,$E$5:$E$10004,E477,$G$5:$G$10004,G477)&lt;INDEX('Staffing Coverage'!$C$5:$C$12,MATCH(1,('Staffing Coverage'!$A$5:$A$12=E477)*('Staffing Coverage'!$B$5:$B$12=G477),0)),"SHORT","OK"))</f>
        <v>OK</v>
      </c>
    </row>
    <row r="478" customFormat="false" ht="15" hidden="false" customHeight="false" outlineLevel="0" collapsed="false">
      <c r="A478" s="15" t="n">
        <v>46319</v>
      </c>
      <c r="B478" s="16" t="str">
        <f aca="false">TEXT(A478,"ddd")</f>
        <v>Sat</v>
      </c>
      <c r="C478" s="10" t="s">
        <v>192</v>
      </c>
      <c r="D478" s="16" t="str">
        <f aca="false">IFERROR(INDEX('Staff Master'!$B$5:$B$24,MATCH(C478,'Staff Master'!$A$5:$A$24,0)),"")</f>
        <v>Noor Hassan</v>
      </c>
      <c r="E478" s="16" t="str">
        <f aca="false">IFERROR(INDEX('Staff Master'!$D$5:$D$24,MATCH(C478,'Staff Master'!$A$5:$A$24,0)),"")</f>
        <v>Dental</v>
      </c>
      <c r="F478" s="16" t="str">
        <f aca="false">IFERROR(INDEX('Staff Master'!$E$5:$E$24,MATCH(C478,'Staff Master'!$A$5:$A$24,0)),"")</f>
        <v>Dental Assistant</v>
      </c>
      <c r="G478" s="10" t="s">
        <v>97</v>
      </c>
      <c r="H478" s="17" t="n">
        <f aca="false">IFERROR(INDEX('Shift Master'!$C$5:$C$16,MATCH(G478,'Shift Master'!$A$5:$A$16,0)),"")</f>
        <v>0</v>
      </c>
      <c r="I478" s="17" t="n">
        <f aca="false">IFERROR(INDEX('Shift Master'!$D$5:$D$16,MATCH(G478,'Shift Master'!$A$5:$A$16,0)),"")</f>
        <v>0</v>
      </c>
      <c r="J478" s="16" t="n">
        <f aca="false">IFERROR(INDEX('Shift Master'!$E$5:$E$16,MATCH(G478,'Shift Master'!$A$5:$A$16,0)),"")</f>
        <v>0</v>
      </c>
      <c r="K478" s="16" t="n">
        <f aca="false">IFERROR(INDEX('Shift Master'!$G$5:$G$16,MATCH(G478,'Shift Master'!$A$5:$A$16,0)),0)</f>
        <v>0</v>
      </c>
      <c r="L478" s="16" t="s">
        <v>228</v>
      </c>
      <c r="M478" s="16" t="s">
        <v>229</v>
      </c>
      <c r="N478" s="16" t="str">
        <f aca="false">IF(COUNTIFS('Staffing Coverage'!$A$5:$A$12,E478,'Staffing Coverage'!$B$5:$B$12,G478)=0,"",IF(COUNTIFS($A$5:$A$10004,A478,$E$5:$E$10004,E478,$G$5:$G$10004,G478)&lt;INDEX('Staffing Coverage'!$C$5:$C$12,MATCH(1,('Staffing Coverage'!$A$5:$A$12=E478)*('Staffing Coverage'!$B$5:$B$12=G478),0)),"SHORT","OK"))</f>
        <v/>
      </c>
    </row>
    <row r="479" customFormat="false" ht="15" hidden="false" customHeight="false" outlineLevel="0" collapsed="false">
      <c r="A479" s="15" t="n">
        <v>46319</v>
      </c>
      <c r="B479" s="16" t="str">
        <f aca="false">TEXT(A479,"ddd")</f>
        <v>Sat</v>
      </c>
      <c r="C479" s="10" t="s">
        <v>196</v>
      </c>
      <c r="D479" s="16" t="str">
        <f aca="false">IFERROR(INDEX('Staff Master'!$B$5:$B$24,MATCH(C479,'Staff Master'!$A$5:$A$24,0)),"")</f>
        <v>Karan Mehta</v>
      </c>
      <c r="E479" s="16" t="str">
        <f aca="false">IFERROR(INDEX('Staff Master'!$D$5:$D$24,MATCH(C479,'Staff Master'!$A$5:$A$24,0)),"")</f>
        <v>Laser</v>
      </c>
      <c r="F479" s="16" t="str">
        <f aca="false">IFERROR(INDEX('Staff Master'!$E$5:$E$24,MATCH(C479,'Staff Master'!$A$5:$A$24,0)),"")</f>
        <v>Laser Technician</v>
      </c>
      <c r="G479" s="10" t="s">
        <v>90</v>
      </c>
      <c r="H479" s="17" t="n">
        <f aca="false">IFERROR(INDEX('Shift Master'!$C$5:$C$16,MATCH(G479,'Shift Master'!$A$5:$A$16,0)),"")</f>
        <v>0.375</v>
      </c>
      <c r="I479" s="17" t="n">
        <f aca="false">IFERROR(INDEX('Shift Master'!$D$5:$D$16,MATCH(G479,'Shift Master'!$A$5:$A$16,0)),"")</f>
        <v>0.75</v>
      </c>
      <c r="J479" s="16" t="n">
        <f aca="false">IFERROR(INDEX('Shift Master'!$E$5:$E$16,MATCH(G479,'Shift Master'!$A$5:$A$16,0)),"")</f>
        <v>60</v>
      </c>
      <c r="K479" s="16" t="n">
        <f aca="false">IFERROR(INDEX('Shift Master'!$G$5:$G$16,MATCH(G479,'Shift Master'!$A$5:$A$16,0)),0)</f>
        <v>8</v>
      </c>
      <c r="L479" s="16" t="s">
        <v>228</v>
      </c>
      <c r="M479" s="16" t="s">
        <v>229</v>
      </c>
      <c r="N479" s="16" t="str">
        <f aca="false">IF(COUNTIFS('Staffing Coverage'!$A$5:$A$12,E479,'Staffing Coverage'!$B$5:$B$12,G479)=0,"",IF(COUNTIFS($A$5:$A$10004,A479,$E$5:$E$10004,E479,$G$5:$G$10004,G479)&lt;INDEX('Staffing Coverage'!$C$5:$C$12,MATCH(1,('Staffing Coverage'!$A$5:$A$12=E479)*('Staffing Coverage'!$B$5:$B$12=G479),0)),"SHORT","OK"))</f>
        <v/>
      </c>
    </row>
    <row r="480" customFormat="false" ht="15" hidden="false" customHeight="false" outlineLevel="0" collapsed="false">
      <c r="A480" s="15" t="n">
        <v>46319</v>
      </c>
      <c r="B480" s="16" t="str">
        <f aca="false">TEXT(A480,"ddd")</f>
        <v>Sat</v>
      </c>
      <c r="C480" s="10" t="s">
        <v>200</v>
      </c>
      <c r="D480" s="16" t="str">
        <f aca="false">IFERROR(INDEX('Staff Master'!$B$5:$B$24,MATCH(C480,'Staff Master'!$A$5:$A$24,0)),"")</f>
        <v>Imran Sheikh</v>
      </c>
      <c r="E480" s="16" t="str">
        <f aca="false">IFERROR(INDEX('Staff Master'!$D$5:$D$24,MATCH(C480,'Staff Master'!$A$5:$A$24,0)),"")</f>
        <v>Dental Laboratory</v>
      </c>
      <c r="F480" s="16" t="str">
        <f aca="false">IFERROR(INDEX('Staff Master'!$E$5:$E$24,MATCH(C480,'Staff Master'!$A$5:$A$24,0)),"")</f>
        <v>Dental Technician</v>
      </c>
      <c r="G480" s="10" t="s">
        <v>97</v>
      </c>
      <c r="H480" s="17" t="n">
        <f aca="false">IFERROR(INDEX('Shift Master'!$C$5:$C$16,MATCH(G480,'Shift Master'!$A$5:$A$16,0)),"")</f>
        <v>0</v>
      </c>
      <c r="I480" s="17" t="n">
        <f aca="false">IFERROR(INDEX('Shift Master'!$D$5:$D$16,MATCH(G480,'Shift Master'!$A$5:$A$16,0)),"")</f>
        <v>0</v>
      </c>
      <c r="J480" s="16" t="n">
        <f aca="false">IFERROR(INDEX('Shift Master'!$E$5:$E$16,MATCH(G480,'Shift Master'!$A$5:$A$16,0)),"")</f>
        <v>0</v>
      </c>
      <c r="K480" s="16" t="n">
        <f aca="false">IFERROR(INDEX('Shift Master'!$G$5:$G$16,MATCH(G480,'Shift Master'!$A$5:$A$16,0)),0)</f>
        <v>0</v>
      </c>
      <c r="L480" s="16" t="s">
        <v>228</v>
      </c>
      <c r="M480" s="16" t="s">
        <v>229</v>
      </c>
      <c r="N480" s="16" t="str">
        <f aca="false">IF(COUNTIFS('Staffing Coverage'!$A$5:$A$12,E480,'Staffing Coverage'!$B$5:$B$12,G480)=0,"",IF(COUNTIFS($A$5:$A$10004,A480,$E$5:$E$10004,E480,$G$5:$G$10004,G480)&lt;INDEX('Staffing Coverage'!$C$5:$C$12,MATCH(1,('Staffing Coverage'!$A$5:$A$12=E480)*('Staffing Coverage'!$B$5:$B$12=G480),0)),"SHORT","OK"))</f>
        <v/>
      </c>
    </row>
    <row r="481" customFormat="false" ht="15" hidden="false" customHeight="false" outlineLevel="0" collapsed="false">
      <c r="A481" s="15" t="n">
        <v>46319</v>
      </c>
      <c r="B481" s="16" t="str">
        <f aca="false">TEXT(A481,"ddd")</f>
        <v>Sat</v>
      </c>
      <c r="C481" s="10" t="s">
        <v>204</v>
      </c>
      <c r="D481" s="16" t="str">
        <f aca="false">IFERROR(INDEX('Staff Master'!$B$5:$B$24,MATCH(C481,'Staff Master'!$A$5:$A$24,0)),"")</f>
        <v>Josephine Cruz</v>
      </c>
      <c r="E481" s="16" t="str">
        <f aca="false">IFERROR(INDEX('Staff Master'!$D$5:$D$24,MATCH(C481,'Staff Master'!$A$5:$A$24,0)),"")</f>
        <v>CSSD</v>
      </c>
      <c r="F481" s="16" t="str">
        <f aca="false">IFERROR(INDEX('Staff Master'!$E$5:$E$24,MATCH(C481,'Staff Master'!$A$5:$A$24,0)),"")</f>
        <v>CSSD Technician</v>
      </c>
      <c r="G481" s="10" t="s">
        <v>87</v>
      </c>
      <c r="H481" s="17" t="n">
        <f aca="false">IFERROR(INDEX('Shift Master'!$C$5:$C$16,MATCH(G481,'Shift Master'!$A$5:$A$16,0)),"")</f>
        <v>0.333333333333333</v>
      </c>
      <c r="I481" s="17" t="n">
        <f aca="false">IFERROR(INDEX('Shift Master'!$D$5:$D$16,MATCH(G481,'Shift Master'!$A$5:$A$16,0)),"")</f>
        <v>0.708333333333333</v>
      </c>
      <c r="J481" s="16" t="n">
        <f aca="false">IFERROR(INDEX('Shift Master'!$E$5:$E$16,MATCH(G481,'Shift Master'!$A$5:$A$16,0)),"")</f>
        <v>60</v>
      </c>
      <c r="K481" s="16" t="n">
        <f aca="false">IFERROR(INDEX('Shift Master'!$G$5:$G$16,MATCH(G481,'Shift Master'!$A$5:$A$16,0)),0)</f>
        <v>8</v>
      </c>
      <c r="L481" s="16" t="s">
        <v>228</v>
      </c>
      <c r="M481" s="16" t="s">
        <v>229</v>
      </c>
      <c r="N481" s="16" t="str">
        <f aca="false">IF(COUNTIFS('Staffing Coverage'!$A$5:$A$12,E481,'Staffing Coverage'!$B$5:$B$12,G481)=0,"",IF(COUNTIFS($A$5:$A$10004,A481,$E$5:$E$10004,E481,$G$5:$G$10004,G481)&lt;INDEX('Staffing Coverage'!$C$5:$C$12,MATCH(1,('Staffing Coverage'!$A$5:$A$12=E481)*('Staffing Coverage'!$B$5:$B$12=G481),0)),"SHORT","OK"))</f>
        <v>OK</v>
      </c>
    </row>
    <row r="482" customFormat="false" ht="15" hidden="false" customHeight="false" outlineLevel="0" collapsed="false">
      <c r="A482" s="15" t="n">
        <v>46319</v>
      </c>
      <c r="B482" s="16" t="str">
        <f aca="false">TEXT(A482,"ddd")</f>
        <v>Sat</v>
      </c>
      <c r="C482" s="10" t="s">
        <v>208</v>
      </c>
      <c r="D482" s="16" t="str">
        <f aca="false">IFERROR(INDEX('Staff Master'!$B$5:$B$24,MATCH(C482,'Staff Master'!$A$5:$A$24,0)),"")</f>
        <v>Rosalyn Tan</v>
      </c>
      <c r="E482" s="16" t="str">
        <f aca="false">IFERROR(INDEX('Staff Master'!$D$5:$D$24,MATCH(C482,'Staff Master'!$A$5:$A$24,0)),"")</f>
        <v>Cleaning</v>
      </c>
      <c r="F482" s="16" t="str">
        <f aca="false">IFERROR(INDEX('Staff Master'!$E$5:$E$24,MATCH(C482,'Staff Master'!$A$5:$A$24,0)),"")</f>
        <v>Cleaner</v>
      </c>
      <c r="G482" s="10" t="s">
        <v>97</v>
      </c>
      <c r="H482" s="17" t="n">
        <f aca="false">IFERROR(INDEX('Shift Master'!$C$5:$C$16,MATCH(G482,'Shift Master'!$A$5:$A$16,0)),"")</f>
        <v>0</v>
      </c>
      <c r="I482" s="17" t="n">
        <f aca="false">IFERROR(INDEX('Shift Master'!$D$5:$D$16,MATCH(G482,'Shift Master'!$A$5:$A$16,0)),"")</f>
        <v>0</v>
      </c>
      <c r="J482" s="16" t="n">
        <f aca="false">IFERROR(INDEX('Shift Master'!$E$5:$E$16,MATCH(G482,'Shift Master'!$A$5:$A$16,0)),"")</f>
        <v>0</v>
      </c>
      <c r="K482" s="16" t="n">
        <f aca="false">IFERROR(INDEX('Shift Master'!$G$5:$G$16,MATCH(G482,'Shift Master'!$A$5:$A$16,0)),0)</f>
        <v>0</v>
      </c>
      <c r="L482" s="16" t="s">
        <v>228</v>
      </c>
      <c r="M482" s="16" t="s">
        <v>229</v>
      </c>
      <c r="N482" s="16" t="str">
        <f aca="false">IF(COUNTIFS('Staffing Coverage'!$A$5:$A$12,E482,'Staffing Coverage'!$B$5:$B$12,G482)=0,"",IF(COUNTIFS($A$5:$A$10004,A482,$E$5:$E$10004,E482,$G$5:$G$10004,G482)&lt;INDEX('Staffing Coverage'!$C$5:$C$12,MATCH(1,('Staffing Coverage'!$A$5:$A$12=E482)*('Staffing Coverage'!$B$5:$B$12=G482),0)),"SHORT","OK"))</f>
        <v/>
      </c>
    </row>
    <row r="483" customFormat="false" ht="15" hidden="false" customHeight="false" outlineLevel="0" collapsed="false">
      <c r="A483" s="15" t="n">
        <v>46319</v>
      </c>
      <c r="B483" s="16" t="str">
        <f aca="false">TEXT(A483,"ddd")</f>
        <v>Sat</v>
      </c>
      <c r="C483" s="10" t="s">
        <v>212</v>
      </c>
      <c r="D483" s="16" t="str">
        <f aca="false">IFERROR(INDEX('Staff Master'!$B$5:$B$24,MATCH(C483,'Staff Master'!$A$5:$A$24,0)),"")</f>
        <v>Hassan Baig</v>
      </c>
      <c r="E483" s="16" t="str">
        <f aca="false">IFERROR(INDEX('Staff Master'!$D$5:$D$24,MATCH(C483,'Staff Master'!$A$5:$A$24,0)),"")</f>
        <v>Facilities</v>
      </c>
      <c r="F483" s="16" t="str">
        <f aca="false">IFERROR(INDEX('Staff Master'!$E$5:$E$24,MATCH(C483,'Staff Master'!$A$5:$A$24,0)),"")</f>
        <v>Facility Manager</v>
      </c>
      <c r="G483" s="10" t="s">
        <v>90</v>
      </c>
      <c r="H483" s="17" t="n">
        <f aca="false">IFERROR(INDEX('Shift Master'!$C$5:$C$16,MATCH(G483,'Shift Master'!$A$5:$A$16,0)),"")</f>
        <v>0.375</v>
      </c>
      <c r="I483" s="17" t="n">
        <f aca="false">IFERROR(INDEX('Shift Master'!$D$5:$D$16,MATCH(G483,'Shift Master'!$A$5:$A$16,0)),"")</f>
        <v>0.75</v>
      </c>
      <c r="J483" s="16" t="n">
        <f aca="false">IFERROR(INDEX('Shift Master'!$E$5:$E$16,MATCH(G483,'Shift Master'!$A$5:$A$16,0)),"")</f>
        <v>60</v>
      </c>
      <c r="K483" s="16" t="n">
        <f aca="false">IFERROR(INDEX('Shift Master'!$G$5:$G$16,MATCH(G483,'Shift Master'!$A$5:$A$16,0)),0)</f>
        <v>8</v>
      </c>
      <c r="L483" s="16" t="s">
        <v>228</v>
      </c>
      <c r="M483" s="16" t="s">
        <v>229</v>
      </c>
      <c r="N483" s="16" t="str">
        <f aca="false">IF(COUNTIFS('Staffing Coverage'!$A$5:$A$12,E483,'Staffing Coverage'!$B$5:$B$12,G483)=0,"",IF(COUNTIFS($A$5:$A$10004,A483,$E$5:$E$10004,E483,$G$5:$G$10004,G483)&lt;INDEX('Staffing Coverage'!$C$5:$C$12,MATCH(1,('Staffing Coverage'!$A$5:$A$12=E483)*('Staffing Coverage'!$B$5:$B$12=G483),0)),"SHORT","OK"))</f>
        <v/>
      </c>
    </row>
    <row r="484" customFormat="false" ht="15" hidden="false" customHeight="false" outlineLevel="0" collapsed="false">
      <c r="A484" s="15" t="n">
        <v>46319</v>
      </c>
      <c r="B484" s="16" t="str">
        <f aca="false">TEXT(A484,"ddd")</f>
        <v>Sat</v>
      </c>
      <c r="C484" s="10" t="s">
        <v>178</v>
      </c>
      <c r="D484" s="16" t="str">
        <f aca="false">IFERROR(INDEX('Staff Master'!$B$5:$B$24,MATCH(C484,'Staff Master'!$A$5:$A$24,0)),"")</f>
        <v>Meera Pillai</v>
      </c>
      <c r="E484" s="16" t="str">
        <f aca="false">IFERROR(INDEX('Staff Master'!$D$5:$D$24,MATCH(C484,'Staff Master'!$A$5:$A$24,0)),"")</f>
        <v>HR</v>
      </c>
      <c r="F484" s="16" t="str">
        <f aca="false">IFERROR(INDEX('Staff Master'!$E$5:$E$24,MATCH(C484,'Staff Master'!$A$5:$A$24,0)),"")</f>
        <v>HR Executive</v>
      </c>
      <c r="G484" s="10" t="s">
        <v>97</v>
      </c>
      <c r="H484" s="17" t="n">
        <f aca="false">IFERROR(INDEX('Shift Master'!$C$5:$C$16,MATCH(G484,'Shift Master'!$A$5:$A$16,0)),"")</f>
        <v>0</v>
      </c>
      <c r="I484" s="17" t="n">
        <f aca="false">IFERROR(INDEX('Shift Master'!$D$5:$D$16,MATCH(G484,'Shift Master'!$A$5:$A$16,0)),"")</f>
        <v>0</v>
      </c>
      <c r="J484" s="16" t="n">
        <f aca="false">IFERROR(INDEX('Shift Master'!$E$5:$E$16,MATCH(G484,'Shift Master'!$A$5:$A$16,0)),"")</f>
        <v>0</v>
      </c>
      <c r="K484" s="16" t="n">
        <f aca="false">IFERROR(INDEX('Shift Master'!$G$5:$G$16,MATCH(G484,'Shift Master'!$A$5:$A$16,0)),0)</f>
        <v>0</v>
      </c>
      <c r="L484" s="16" t="s">
        <v>228</v>
      </c>
      <c r="M484" s="16" t="s">
        <v>229</v>
      </c>
      <c r="N484" s="16" t="str">
        <f aca="false">IF(COUNTIFS('Staffing Coverage'!$A$5:$A$12,E484,'Staffing Coverage'!$B$5:$B$12,G484)=0,"",IF(COUNTIFS($A$5:$A$10004,A484,$E$5:$E$10004,E484,$G$5:$G$10004,G484)&lt;INDEX('Staffing Coverage'!$C$5:$C$12,MATCH(1,('Staffing Coverage'!$A$5:$A$12=E484)*('Staffing Coverage'!$B$5:$B$12=G484),0)),"SHORT","OK"))</f>
        <v/>
      </c>
    </row>
    <row r="485" customFormat="false" ht="15" hidden="false" customHeight="false" outlineLevel="0" collapsed="false">
      <c r="A485" s="15" t="n">
        <v>46320</v>
      </c>
      <c r="B485" s="16" t="str">
        <f aca="false">TEXT(A485,"ddd")</f>
        <v>Sun</v>
      </c>
      <c r="C485" s="10" t="s">
        <v>128</v>
      </c>
      <c r="D485" s="16" t="str">
        <f aca="false">IFERROR(INDEX('Staff Master'!$B$5:$B$24,MATCH(C485,'Staff Master'!$A$5:$A$24,0)),"")</f>
        <v>Rashid Al Nuaimi</v>
      </c>
      <c r="E485" s="16" t="str">
        <f aca="false">IFERROR(INDEX('Staff Master'!$D$5:$D$24,MATCH(C485,'Staff Master'!$A$5:$A$24,0)),"")</f>
        <v>Management</v>
      </c>
      <c r="F485" s="16" t="str">
        <f aca="false">IFERROR(INDEX('Staff Master'!$E$5:$E$24,MATCH(C485,'Staff Master'!$A$5:$A$24,0)),"")</f>
        <v>CEO</v>
      </c>
      <c r="G485" s="10" t="s">
        <v>90</v>
      </c>
      <c r="H485" s="17" t="n">
        <f aca="false">IFERROR(INDEX('Shift Master'!$C$5:$C$16,MATCH(G485,'Shift Master'!$A$5:$A$16,0)),"")</f>
        <v>0.375</v>
      </c>
      <c r="I485" s="17" t="n">
        <f aca="false">IFERROR(INDEX('Shift Master'!$D$5:$D$16,MATCH(G485,'Shift Master'!$A$5:$A$16,0)),"")</f>
        <v>0.75</v>
      </c>
      <c r="J485" s="16" t="n">
        <f aca="false">IFERROR(INDEX('Shift Master'!$E$5:$E$16,MATCH(G485,'Shift Master'!$A$5:$A$16,0)),"")</f>
        <v>60</v>
      </c>
      <c r="K485" s="16" t="n">
        <f aca="false">IFERROR(INDEX('Shift Master'!$G$5:$G$16,MATCH(G485,'Shift Master'!$A$5:$A$16,0)),0)</f>
        <v>8</v>
      </c>
      <c r="L485" s="16" t="s">
        <v>228</v>
      </c>
      <c r="M485" s="16" t="s">
        <v>229</v>
      </c>
      <c r="N485" s="16" t="str">
        <f aca="false">IF(COUNTIFS('Staffing Coverage'!$A$5:$A$12,E485,'Staffing Coverage'!$B$5:$B$12,G485)=0,"",IF(COUNTIFS($A$5:$A$10004,A485,$E$5:$E$10004,E485,$G$5:$G$10004,G485)&lt;INDEX('Staffing Coverage'!$C$5:$C$12,MATCH(1,('Staffing Coverage'!$A$5:$A$12=E485)*('Staffing Coverage'!$B$5:$B$12=G485),0)),"SHORT","OK"))</f>
        <v/>
      </c>
    </row>
    <row r="486" customFormat="false" ht="15" hidden="false" customHeight="false" outlineLevel="0" collapsed="false">
      <c r="A486" s="15" t="n">
        <v>46320</v>
      </c>
      <c r="B486" s="16" t="str">
        <f aca="false">TEXT(A486,"ddd")</f>
        <v>Sun</v>
      </c>
      <c r="C486" s="10" t="s">
        <v>137</v>
      </c>
      <c r="D486" s="16" t="str">
        <f aca="false">IFERROR(INDEX('Staff Master'!$B$5:$B$24,MATCH(C486,'Staff Master'!$A$5:$A$24,0)),"")</f>
        <v>Dr. Sara Haddad</v>
      </c>
      <c r="E486" s="16" t="str">
        <f aca="false">IFERROR(INDEX('Staff Master'!$D$5:$D$24,MATCH(C486,'Staff Master'!$A$5:$A$24,0)),"")</f>
        <v>General Practice</v>
      </c>
      <c r="F486" s="16" t="str">
        <f aca="false">IFERROR(INDEX('Staff Master'!$E$5:$E$24,MATCH(C486,'Staff Master'!$A$5:$A$24,0)),"")</f>
        <v>Medical Director</v>
      </c>
      <c r="G486" s="10" t="s">
        <v>96</v>
      </c>
      <c r="H486" s="17" t="n">
        <f aca="false">IFERROR(INDEX('Shift Master'!$C$5:$C$16,MATCH(G486,'Shift Master'!$A$5:$A$16,0)),"")</f>
        <v>0.375</v>
      </c>
      <c r="I486" s="17" t="n">
        <f aca="false">IFERROR(INDEX('Shift Master'!$D$5:$D$16,MATCH(G486,'Shift Master'!$A$5:$A$16,0)),"")</f>
        <v>0.708333333333333</v>
      </c>
      <c r="J486" s="16" t="n">
        <f aca="false">IFERROR(INDEX('Shift Master'!$E$5:$E$16,MATCH(G486,'Shift Master'!$A$5:$A$16,0)),"")</f>
        <v>60</v>
      </c>
      <c r="K486" s="16" t="n">
        <f aca="false">IFERROR(INDEX('Shift Master'!$G$5:$G$16,MATCH(G486,'Shift Master'!$A$5:$A$16,0)),0)</f>
        <v>7</v>
      </c>
      <c r="L486" s="16" t="s">
        <v>228</v>
      </c>
      <c r="M486" s="16" t="s">
        <v>229</v>
      </c>
      <c r="N486" s="16" t="str">
        <f aca="false">IF(COUNTIFS('Staffing Coverage'!$A$5:$A$12,E486,'Staffing Coverage'!$B$5:$B$12,G486)=0,"",IF(COUNTIFS($A$5:$A$10004,A486,$E$5:$E$10004,E486,$G$5:$G$10004,G486)&lt;INDEX('Staffing Coverage'!$C$5:$C$12,MATCH(1,('Staffing Coverage'!$A$5:$A$12=E486)*('Staffing Coverage'!$B$5:$B$12=G486),0)),"SHORT","OK"))</f>
        <v/>
      </c>
    </row>
    <row r="487" customFormat="false" ht="15" hidden="false" customHeight="false" outlineLevel="0" collapsed="false">
      <c r="A487" s="15" t="n">
        <v>46320</v>
      </c>
      <c r="B487" s="16" t="str">
        <f aca="false">TEXT(A487,"ddd")</f>
        <v>Sun</v>
      </c>
      <c r="C487" s="10" t="s">
        <v>142</v>
      </c>
      <c r="D487" s="16" t="str">
        <f aca="false">IFERROR(INDEX('Staff Master'!$B$5:$B$24,MATCH(C487,'Staff Master'!$A$5:$A$24,0)),"")</f>
        <v>Dr. Omar Khalil</v>
      </c>
      <c r="E487" s="16" t="str">
        <f aca="false">IFERROR(INDEX('Staff Master'!$D$5:$D$24,MATCH(C487,'Staff Master'!$A$5:$A$24,0)),"")</f>
        <v>General Practice</v>
      </c>
      <c r="F487" s="16" t="str">
        <f aca="false">IFERROR(INDEX('Staff Master'!$E$5:$E$24,MATCH(C487,'Staff Master'!$A$5:$A$24,0)),"")</f>
        <v>Doctor</v>
      </c>
      <c r="G487" s="10" t="s">
        <v>96</v>
      </c>
      <c r="H487" s="17" t="n">
        <f aca="false">IFERROR(INDEX('Shift Master'!$C$5:$C$16,MATCH(G487,'Shift Master'!$A$5:$A$16,0)),"")</f>
        <v>0.375</v>
      </c>
      <c r="I487" s="17" t="n">
        <f aca="false">IFERROR(INDEX('Shift Master'!$D$5:$D$16,MATCH(G487,'Shift Master'!$A$5:$A$16,0)),"")</f>
        <v>0.708333333333333</v>
      </c>
      <c r="J487" s="16" t="n">
        <f aca="false">IFERROR(INDEX('Shift Master'!$E$5:$E$16,MATCH(G487,'Shift Master'!$A$5:$A$16,0)),"")</f>
        <v>60</v>
      </c>
      <c r="K487" s="16" t="n">
        <f aca="false">IFERROR(INDEX('Shift Master'!$G$5:$G$16,MATCH(G487,'Shift Master'!$A$5:$A$16,0)),0)</f>
        <v>7</v>
      </c>
      <c r="L487" s="16" t="s">
        <v>228</v>
      </c>
      <c r="M487" s="16" t="s">
        <v>229</v>
      </c>
      <c r="N487" s="16" t="str">
        <f aca="false">IF(COUNTIFS('Staffing Coverage'!$A$5:$A$12,E487,'Staffing Coverage'!$B$5:$B$12,G487)=0,"",IF(COUNTIFS($A$5:$A$10004,A487,$E$5:$E$10004,E487,$G$5:$G$10004,G487)&lt;INDEX('Staffing Coverage'!$C$5:$C$12,MATCH(1,('Staffing Coverage'!$A$5:$A$12=E487)*('Staffing Coverage'!$B$5:$B$12=G487),0)),"SHORT","OK"))</f>
        <v/>
      </c>
    </row>
    <row r="488" customFormat="false" ht="15" hidden="false" customHeight="false" outlineLevel="0" collapsed="false">
      <c r="A488" s="15" t="n">
        <v>46320</v>
      </c>
      <c r="B488" s="16" t="str">
        <f aca="false">TEXT(A488,"ddd")</f>
        <v>Sun</v>
      </c>
      <c r="C488" s="10" t="s">
        <v>146</v>
      </c>
      <c r="D488" s="16" t="str">
        <f aca="false">IFERROR(INDEX('Staff Master'!$B$5:$B$24,MATCH(C488,'Staff Master'!$A$5:$A$24,0)),"")</f>
        <v>Dr. Lina Abboud</v>
      </c>
      <c r="E488" s="16" t="str">
        <f aca="false">IFERROR(INDEX('Staff Master'!$D$5:$D$24,MATCH(C488,'Staff Master'!$A$5:$A$24,0)),"")</f>
        <v>Dental</v>
      </c>
      <c r="F488" s="16" t="str">
        <f aca="false">IFERROR(INDEX('Staff Master'!$E$5:$E$24,MATCH(C488,'Staff Master'!$A$5:$A$24,0)),"")</f>
        <v>Dentist</v>
      </c>
      <c r="G488" s="10" t="s">
        <v>96</v>
      </c>
      <c r="H488" s="17" t="n">
        <f aca="false">IFERROR(INDEX('Shift Master'!$C$5:$C$16,MATCH(G488,'Shift Master'!$A$5:$A$16,0)),"")</f>
        <v>0.375</v>
      </c>
      <c r="I488" s="17" t="n">
        <f aca="false">IFERROR(INDEX('Shift Master'!$D$5:$D$16,MATCH(G488,'Shift Master'!$A$5:$A$16,0)),"")</f>
        <v>0.708333333333333</v>
      </c>
      <c r="J488" s="16" t="n">
        <f aca="false">IFERROR(INDEX('Shift Master'!$E$5:$E$16,MATCH(G488,'Shift Master'!$A$5:$A$16,0)),"")</f>
        <v>60</v>
      </c>
      <c r="K488" s="16" t="n">
        <f aca="false">IFERROR(INDEX('Shift Master'!$G$5:$G$16,MATCH(G488,'Shift Master'!$A$5:$A$16,0)),0)</f>
        <v>7</v>
      </c>
      <c r="L488" s="16" t="s">
        <v>228</v>
      </c>
      <c r="M488" s="16" t="s">
        <v>229</v>
      </c>
      <c r="N488" s="16" t="str">
        <f aca="false">IF(COUNTIFS('Staffing Coverage'!$A$5:$A$12,E488,'Staffing Coverage'!$B$5:$B$12,G488)=0,"",IF(COUNTIFS($A$5:$A$10004,A488,$E$5:$E$10004,E488,$G$5:$G$10004,G488)&lt;INDEX('Staffing Coverage'!$C$5:$C$12,MATCH(1,('Staffing Coverage'!$A$5:$A$12=E488)*('Staffing Coverage'!$B$5:$B$12=G488),0)),"SHORT","OK"))</f>
        <v/>
      </c>
    </row>
    <row r="489" customFormat="false" ht="15" hidden="false" customHeight="false" outlineLevel="0" collapsed="false">
      <c r="A489" s="15" t="n">
        <v>46320</v>
      </c>
      <c r="B489" s="16" t="str">
        <f aca="false">TEXT(A489,"ddd")</f>
        <v>Sun</v>
      </c>
      <c r="C489" s="10" t="s">
        <v>150</v>
      </c>
      <c r="D489" s="16" t="str">
        <f aca="false">IFERROR(INDEX('Staff Master'!$B$5:$B$24,MATCH(C489,'Staff Master'!$A$5:$A$24,0)),"")</f>
        <v>Dr. Farah Idris</v>
      </c>
      <c r="E489" s="16" t="str">
        <f aca="false">IFERROR(INDEX('Staff Master'!$D$5:$D$24,MATCH(C489,'Staff Master'!$A$5:$A$24,0)),"")</f>
        <v>Dental</v>
      </c>
      <c r="F489" s="16" t="str">
        <f aca="false">IFERROR(INDEX('Staff Master'!$E$5:$E$24,MATCH(C489,'Staff Master'!$A$5:$A$24,0)),"")</f>
        <v>Dentist</v>
      </c>
      <c r="G489" s="10" t="s">
        <v>97</v>
      </c>
      <c r="H489" s="17" t="n">
        <f aca="false">IFERROR(INDEX('Shift Master'!$C$5:$C$16,MATCH(G489,'Shift Master'!$A$5:$A$16,0)),"")</f>
        <v>0</v>
      </c>
      <c r="I489" s="17" t="n">
        <f aca="false">IFERROR(INDEX('Shift Master'!$D$5:$D$16,MATCH(G489,'Shift Master'!$A$5:$A$16,0)),"")</f>
        <v>0</v>
      </c>
      <c r="J489" s="16" t="n">
        <f aca="false">IFERROR(INDEX('Shift Master'!$E$5:$E$16,MATCH(G489,'Shift Master'!$A$5:$A$16,0)),"")</f>
        <v>0</v>
      </c>
      <c r="K489" s="16" t="n">
        <f aca="false">IFERROR(INDEX('Shift Master'!$G$5:$G$16,MATCH(G489,'Shift Master'!$A$5:$A$16,0)),0)</f>
        <v>0</v>
      </c>
      <c r="L489" s="16" t="s">
        <v>228</v>
      </c>
      <c r="M489" s="16" t="s">
        <v>229</v>
      </c>
      <c r="N489" s="16" t="str">
        <f aca="false">IF(COUNTIFS('Staffing Coverage'!$A$5:$A$12,E489,'Staffing Coverage'!$B$5:$B$12,G489)=0,"",IF(COUNTIFS($A$5:$A$10004,A489,$E$5:$E$10004,E489,$G$5:$G$10004,G489)&lt;INDEX('Staffing Coverage'!$C$5:$C$12,MATCH(1,('Staffing Coverage'!$A$5:$A$12=E489)*('Staffing Coverage'!$B$5:$B$12=G489),0)),"SHORT","OK"))</f>
        <v/>
      </c>
    </row>
    <row r="490" customFormat="false" ht="15" hidden="false" customHeight="false" outlineLevel="0" collapsed="false">
      <c r="A490" s="15" t="n">
        <v>46320</v>
      </c>
      <c r="B490" s="16" t="str">
        <f aca="false">TEXT(A490,"ddd")</f>
        <v>Sun</v>
      </c>
      <c r="C490" s="10" t="s">
        <v>157</v>
      </c>
      <c r="D490" s="16" t="str">
        <f aca="false">IFERROR(INDEX('Staff Master'!$B$5:$B$24,MATCH(C490,'Staff Master'!$A$5:$A$24,0)),"")</f>
        <v>Dr. Youssef Nassar</v>
      </c>
      <c r="E490" s="16" t="str">
        <f aca="false">IFERROR(INDEX('Staff Master'!$D$5:$D$24,MATCH(C490,'Staff Master'!$A$5:$A$24,0)),"")</f>
        <v>General Practice</v>
      </c>
      <c r="F490" s="16" t="str">
        <f aca="false">IFERROR(INDEX('Staff Master'!$E$5:$E$24,MATCH(C490,'Staff Master'!$A$5:$A$24,0)),"")</f>
        <v>General Practitioner</v>
      </c>
      <c r="G490" s="10" t="s">
        <v>96</v>
      </c>
      <c r="H490" s="17" t="n">
        <f aca="false">IFERROR(INDEX('Shift Master'!$C$5:$C$16,MATCH(G490,'Shift Master'!$A$5:$A$16,0)),"")</f>
        <v>0.375</v>
      </c>
      <c r="I490" s="17" t="n">
        <f aca="false">IFERROR(INDEX('Shift Master'!$D$5:$D$16,MATCH(G490,'Shift Master'!$A$5:$A$16,0)),"")</f>
        <v>0.708333333333333</v>
      </c>
      <c r="J490" s="16" t="n">
        <f aca="false">IFERROR(INDEX('Shift Master'!$E$5:$E$16,MATCH(G490,'Shift Master'!$A$5:$A$16,0)),"")</f>
        <v>60</v>
      </c>
      <c r="K490" s="16" t="n">
        <f aca="false">IFERROR(INDEX('Shift Master'!$G$5:$G$16,MATCH(G490,'Shift Master'!$A$5:$A$16,0)),0)</f>
        <v>7</v>
      </c>
      <c r="L490" s="16" t="s">
        <v>228</v>
      </c>
      <c r="M490" s="16" t="s">
        <v>229</v>
      </c>
      <c r="N490" s="16" t="str">
        <f aca="false">IF(COUNTIFS('Staffing Coverage'!$A$5:$A$12,E490,'Staffing Coverage'!$B$5:$B$12,G490)=0,"",IF(COUNTIFS($A$5:$A$10004,A490,$E$5:$E$10004,E490,$G$5:$G$10004,G490)&lt;INDEX('Staffing Coverage'!$C$5:$C$12,MATCH(1,('Staffing Coverage'!$A$5:$A$12=E490)*('Staffing Coverage'!$B$5:$B$12=G490),0)),"SHORT","OK"))</f>
        <v/>
      </c>
    </row>
    <row r="491" customFormat="false" ht="15" hidden="false" customHeight="false" outlineLevel="0" collapsed="false">
      <c r="A491" s="15" t="n">
        <v>46320</v>
      </c>
      <c r="B491" s="16" t="str">
        <f aca="false">TEXT(A491,"ddd")</f>
        <v>Sun</v>
      </c>
      <c r="C491" s="10" t="s">
        <v>161</v>
      </c>
      <c r="D491" s="16" t="str">
        <f aca="false">IFERROR(INDEX('Staff Master'!$B$5:$B$24,MATCH(C491,'Staff Master'!$A$5:$A$24,0)),"")</f>
        <v>Grace Fernandez</v>
      </c>
      <c r="E491" s="16" t="str">
        <f aca="false">IFERROR(INDEX('Staff Master'!$D$5:$D$24,MATCH(C491,'Staff Master'!$A$5:$A$24,0)),"")</f>
        <v>Nursing</v>
      </c>
      <c r="F491" s="16" t="str">
        <f aca="false">IFERROR(INDEX('Staff Master'!$E$5:$E$24,MATCH(C491,'Staff Master'!$A$5:$A$24,0)),"")</f>
        <v>Nurse</v>
      </c>
      <c r="G491" s="10" t="s">
        <v>97</v>
      </c>
      <c r="H491" s="17" t="n">
        <f aca="false">IFERROR(INDEX('Shift Master'!$C$5:$C$16,MATCH(G491,'Shift Master'!$A$5:$A$16,0)),"")</f>
        <v>0</v>
      </c>
      <c r="I491" s="17" t="n">
        <f aca="false">IFERROR(INDEX('Shift Master'!$D$5:$D$16,MATCH(G491,'Shift Master'!$A$5:$A$16,0)),"")</f>
        <v>0</v>
      </c>
      <c r="J491" s="16" t="n">
        <f aca="false">IFERROR(INDEX('Shift Master'!$E$5:$E$16,MATCH(G491,'Shift Master'!$A$5:$A$16,0)),"")</f>
        <v>0</v>
      </c>
      <c r="K491" s="16" t="n">
        <f aca="false">IFERROR(INDEX('Shift Master'!$G$5:$G$16,MATCH(G491,'Shift Master'!$A$5:$A$16,0)),0)</f>
        <v>0</v>
      </c>
      <c r="L491" s="16" t="s">
        <v>228</v>
      </c>
      <c r="M491" s="16" t="s">
        <v>229</v>
      </c>
      <c r="N491" s="16" t="str">
        <f aca="false">IF(COUNTIFS('Staffing Coverage'!$A$5:$A$12,E491,'Staffing Coverage'!$B$5:$B$12,G491)=0,"",IF(COUNTIFS($A$5:$A$10004,A491,$E$5:$E$10004,E491,$G$5:$G$10004,G491)&lt;INDEX('Staffing Coverage'!$C$5:$C$12,MATCH(1,('Staffing Coverage'!$A$5:$A$12=E491)*('Staffing Coverage'!$B$5:$B$12=G491),0)),"SHORT","OK"))</f>
        <v/>
      </c>
    </row>
    <row r="492" customFormat="false" ht="15" hidden="false" customHeight="false" outlineLevel="0" collapsed="false">
      <c r="A492" s="15" t="n">
        <v>46320</v>
      </c>
      <c r="B492" s="16" t="str">
        <f aca="false">TEXT(A492,"ddd")</f>
        <v>Sun</v>
      </c>
      <c r="C492" s="10" t="s">
        <v>165</v>
      </c>
      <c r="D492" s="16" t="str">
        <f aca="false">IFERROR(INDEX('Staff Master'!$B$5:$B$24,MATCH(C492,'Staff Master'!$A$5:$A$24,0)),"")</f>
        <v>Priya Nair</v>
      </c>
      <c r="E492" s="16" t="str">
        <f aca="false">IFERROR(INDEX('Staff Master'!$D$5:$D$24,MATCH(C492,'Staff Master'!$A$5:$A$24,0)),"")</f>
        <v>Nursing</v>
      </c>
      <c r="F492" s="16" t="str">
        <f aca="false">IFERROR(INDEX('Staff Master'!$E$5:$E$24,MATCH(C492,'Staff Master'!$A$5:$A$24,0)),"")</f>
        <v>Nurse</v>
      </c>
      <c r="G492" s="10" t="s">
        <v>90</v>
      </c>
      <c r="H492" s="17" t="n">
        <f aca="false">IFERROR(INDEX('Shift Master'!$C$5:$C$16,MATCH(G492,'Shift Master'!$A$5:$A$16,0)),"")</f>
        <v>0.375</v>
      </c>
      <c r="I492" s="17" t="n">
        <f aca="false">IFERROR(INDEX('Shift Master'!$D$5:$D$16,MATCH(G492,'Shift Master'!$A$5:$A$16,0)),"")</f>
        <v>0.75</v>
      </c>
      <c r="J492" s="16" t="n">
        <f aca="false">IFERROR(INDEX('Shift Master'!$E$5:$E$16,MATCH(G492,'Shift Master'!$A$5:$A$16,0)),"")</f>
        <v>60</v>
      </c>
      <c r="K492" s="16" t="n">
        <f aca="false">IFERROR(INDEX('Shift Master'!$G$5:$G$16,MATCH(G492,'Shift Master'!$A$5:$A$16,0)),0)</f>
        <v>8</v>
      </c>
      <c r="L492" s="16" t="s">
        <v>228</v>
      </c>
      <c r="M492" s="16" t="s">
        <v>229</v>
      </c>
      <c r="N492" s="16" t="str">
        <f aca="false">IF(COUNTIFS('Staffing Coverage'!$A$5:$A$12,E492,'Staffing Coverage'!$B$5:$B$12,G492)=0,"",IF(COUNTIFS($A$5:$A$10004,A492,$E$5:$E$10004,E492,$G$5:$G$10004,G492)&lt;INDEX('Staffing Coverage'!$C$5:$C$12,MATCH(1,('Staffing Coverage'!$A$5:$A$12=E492)*('Staffing Coverage'!$B$5:$B$12=G492),0)),"SHORT","OK"))</f>
        <v>OK</v>
      </c>
    </row>
    <row r="493" customFormat="false" ht="15" hidden="false" customHeight="false" outlineLevel="0" collapsed="false">
      <c r="A493" s="15" t="n">
        <v>46320</v>
      </c>
      <c r="B493" s="16" t="str">
        <f aca="false">TEXT(A493,"ddd")</f>
        <v>Sun</v>
      </c>
      <c r="C493" s="10" t="s">
        <v>170</v>
      </c>
      <c r="D493" s="16" t="str">
        <f aca="false">IFERROR(INDEX('Staff Master'!$B$5:$B$24,MATCH(C493,'Staff Master'!$A$5:$A$24,0)),"")</f>
        <v>Maria Santos</v>
      </c>
      <c r="E493" s="16" t="str">
        <f aca="false">IFERROR(INDEX('Staff Master'!$D$5:$D$24,MATCH(C493,'Staff Master'!$A$5:$A$24,0)),"")</f>
        <v>Nursing</v>
      </c>
      <c r="F493" s="16" t="str">
        <f aca="false">IFERROR(INDEX('Staff Master'!$E$5:$E$24,MATCH(C493,'Staff Master'!$A$5:$A$24,0)),"")</f>
        <v>Nurse</v>
      </c>
      <c r="G493" s="10" t="s">
        <v>94</v>
      </c>
      <c r="H493" s="17" t="n">
        <f aca="false">IFERROR(INDEX('Shift Master'!$C$5:$C$16,MATCH(G493,'Shift Master'!$A$5:$A$16,0)),"")</f>
        <v>0.541666666666667</v>
      </c>
      <c r="I493" s="17" t="n">
        <f aca="false">IFERROR(INDEX('Shift Master'!$D$5:$D$16,MATCH(G493,'Shift Master'!$A$5:$A$16,0)),"")</f>
        <v>0.916666666666667</v>
      </c>
      <c r="J493" s="16" t="n">
        <f aca="false">IFERROR(INDEX('Shift Master'!$E$5:$E$16,MATCH(G493,'Shift Master'!$A$5:$A$16,0)),"")</f>
        <v>60</v>
      </c>
      <c r="K493" s="16" t="n">
        <f aca="false">IFERROR(INDEX('Shift Master'!$G$5:$G$16,MATCH(G493,'Shift Master'!$A$5:$A$16,0)),0)</f>
        <v>8</v>
      </c>
      <c r="L493" s="16" t="s">
        <v>228</v>
      </c>
      <c r="M493" s="16" t="s">
        <v>229</v>
      </c>
      <c r="N493" s="16" t="str">
        <f aca="false">IF(COUNTIFS('Staffing Coverage'!$A$5:$A$12,E493,'Staffing Coverage'!$B$5:$B$12,G493)=0,"",IF(COUNTIFS($A$5:$A$10004,A493,$E$5:$E$10004,E493,$G$5:$G$10004,G493)&lt;INDEX('Staffing Coverage'!$C$5:$C$12,MATCH(1,('Staffing Coverage'!$A$5:$A$12=E493)*('Staffing Coverage'!$B$5:$B$12=G493),0)),"SHORT","OK"))</f>
        <v/>
      </c>
    </row>
    <row r="494" customFormat="false" ht="15" hidden="false" customHeight="false" outlineLevel="0" collapsed="false">
      <c r="A494" s="15" t="n">
        <v>46320</v>
      </c>
      <c r="B494" s="16" t="str">
        <f aca="false">TEXT(A494,"ddd")</f>
        <v>Sun</v>
      </c>
      <c r="C494" s="10" t="s">
        <v>174</v>
      </c>
      <c r="D494" s="16" t="str">
        <f aca="false">IFERROR(INDEX('Staff Master'!$B$5:$B$24,MATCH(C494,'Staff Master'!$A$5:$A$24,0)),"")</f>
        <v>Aisha Al Shamsi</v>
      </c>
      <c r="E494" s="16" t="str">
        <f aca="false">IFERROR(INDEX('Staff Master'!$D$5:$D$24,MATCH(C494,'Staff Master'!$A$5:$A$24,0)),"")</f>
        <v>Reception</v>
      </c>
      <c r="F494" s="16" t="str">
        <f aca="false">IFERROR(INDEX('Staff Master'!$E$5:$E$24,MATCH(C494,'Staff Master'!$A$5:$A$24,0)),"")</f>
        <v>Receptionist</v>
      </c>
      <c r="G494" s="10" t="s">
        <v>87</v>
      </c>
      <c r="H494" s="17" t="n">
        <f aca="false">IFERROR(INDEX('Shift Master'!$C$5:$C$16,MATCH(G494,'Shift Master'!$A$5:$A$16,0)),"")</f>
        <v>0.333333333333333</v>
      </c>
      <c r="I494" s="17" t="n">
        <f aca="false">IFERROR(INDEX('Shift Master'!$D$5:$D$16,MATCH(G494,'Shift Master'!$A$5:$A$16,0)),"")</f>
        <v>0.708333333333333</v>
      </c>
      <c r="J494" s="16" t="n">
        <f aca="false">IFERROR(INDEX('Shift Master'!$E$5:$E$16,MATCH(G494,'Shift Master'!$A$5:$A$16,0)),"")</f>
        <v>60</v>
      </c>
      <c r="K494" s="16" t="n">
        <f aca="false">IFERROR(INDEX('Shift Master'!$G$5:$G$16,MATCH(G494,'Shift Master'!$A$5:$A$16,0)),0)</f>
        <v>8</v>
      </c>
      <c r="L494" s="16" t="s">
        <v>228</v>
      </c>
      <c r="M494" s="16" t="s">
        <v>229</v>
      </c>
      <c r="N494" s="16" t="str">
        <f aca="false">IF(COUNTIFS('Staffing Coverage'!$A$5:$A$12,E494,'Staffing Coverage'!$B$5:$B$12,G494)=0,"",IF(COUNTIFS($A$5:$A$10004,A494,$E$5:$E$10004,E494,$G$5:$G$10004,G494)&lt;INDEX('Staffing Coverage'!$C$5:$C$12,MATCH(1,('Staffing Coverage'!$A$5:$A$12=E494)*('Staffing Coverage'!$B$5:$B$12=G494),0)),"SHORT","OK"))</f>
        <v>SHORT</v>
      </c>
    </row>
    <row r="495" customFormat="false" ht="15" hidden="false" customHeight="false" outlineLevel="0" collapsed="false">
      <c r="A495" s="15" t="n">
        <v>46320</v>
      </c>
      <c r="B495" s="16" t="str">
        <f aca="false">TEXT(A495,"ddd")</f>
        <v>Sun</v>
      </c>
      <c r="C495" s="10" t="s">
        <v>179</v>
      </c>
      <c r="D495" s="16" t="str">
        <f aca="false">IFERROR(INDEX('Staff Master'!$B$5:$B$24,MATCH(C495,'Staff Master'!$A$5:$A$24,0)),"")</f>
        <v>John Dsouza</v>
      </c>
      <c r="E495" s="16" t="str">
        <f aca="false">IFERROR(INDEX('Staff Master'!$D$5:$D$24,MATCH(C495,'Staff Master'!$A$5:$A$24,0)),"")</f>
        <v>Reception</v>
      </c>
      <c r="F495" s="16" t="str">
        <f aca="false">IFERROR(INDEX('Staff Master'!$E$5:$E$24,MATCH(C495,'Staff Master'!$A$5:$A$24,0)),"")</f>
        <v>Receptionist</v>
      </c>
      <c r="G495" s="10" t="s">
        <v>90</v>
      </c>
      <c r="H495" s="17" t="n">
        <f aca="false">IFERROR(INDEX('Shift Master'!$C$5:$C$16,MATCH(G495,'Shift Master'!$A$5:$A$16,0)),"")</f>
        <v>0.375</v>
      </c>
      <c r="I495" s="17" t="n">
        <f aca="false">IFERROR(INDEX('Shift Master'!$D$5:$D$16,MATCH(G495,'Shift Master'!$A$5:$A$16,0)),"")</f>
        <v>0.75</v>
      </c>
      <c r="J495" s="16" t="n">
        <f aca="false">IFERROR(INDEX('Shift Master'!$E$5:$E$16,MATCH(G495,'Shift Master'!$A$5:$A$16,0)),"")</f>
        <v>60</v>
      </c>
      <c r="K495" s="16" t="n">
        <f aca="false">IFERROR(INDEX('Shift Master'!$G$5:$G$16,MATCH(G495,'Shift Master'!$A$5:$A$16,0)),0)</f>
        <v>8</v>
      </c>
      <c r="L495" s="16" t="s">
        <v>228</v>
      </c>
      <c r="M495" s="16" t="s">
        <v>229</v>
      </c>
      <c r="N495" s="16" t="str">
        <f aca="false">IF(COUNTIFS('Staffing Coverage'!$A$5:$A$12,E495,'Staffing Coverage'!$B$5:$B$12,G495)=0,"",IF(COUNTIFS($A$5:$A$10004,A495,$E$5:$E$10004,E495,$G$5:$G$10004,G495)&lt;INDEX('Staffing Coverage'!$C$5:$C$12,MATCH(1,('Staffing Coverage'!$A$5:$A$12=E495)*('Staffing Coverage'!$B$5:$B$12=G495),0)),"SHORT","OK"))</f>
        <v>SHORT</v>
      </c>
    </row>
    <row r="496" customFormat="false" ht="15" hidden="false" customHeight="false" outlineLevel="0" collapsed="false">
      <c r="A496" s="15" t="n">
        <v>46320</v>
      </c>
      <c r="B496" s="16" t="str">
        <f aca="false">TEXT(A496,"ddd")</f>
        <v>Sun</v>
      </c>
      <c r="C496" s="10" t="s">
        <v>184</v>
      </c>
      <c r="D496" s="16" t="str">
        <f aca="false">IFERROR(INDEX('Staff Master'!$B$5:$B$24,MATCH(C496,'Staff Master'!$A$5:$A$24,0)),"")</f>
        <v>Fatima Zahra</v>
      </c>
      <c r="E496" s="16" t="str">
        <f aca="false">IFERROR(INDEX('Staff Master'!$D$5:$D$24,MATCH(C496,'Staff Master'!$A$5:$A$24,0)),"")</f>
        <v>Reception</v>
      </c>
      <c r="F496" s="16" t="str">
        <f aca="false">IFERROR(INDEX('Staff Master'!$E$5:$E$24,MATCH(C496,'Staff Master'!$A$5:$A$24,0)),"")</f>
        <v>Receptionist</v>
      </c>
      <c r="G496" s="10" t="s">
        <v>94</v>
      </c>
      <c r="H496" s="17" t="n">
        <f aca="false">IFERROR(INDEX('Shift Master'!$C$5:$C$16,MATCH(G496,'Shift Master'!$A$5:$A$16,0)),"")</f>
        <v>0.541666666666667</v>
      </c>
      <c r="I496" s="17" t="n">
        <f aca="false">IFERROR(INDEX('Shift Master'!$D$5:$D$16,MATCH(G496,'Shift Master'!$A$5:$A$16,0)),"")</f>
        <v>0.916666666666667</v>
      </c>
      <c r="J496" s="16" t="n">
        <f aca="false">IFERROR(INDEX('Shift Master'!$E$5:$E$16,MATCH(G496,'Shift Master'!$A$5:$A$16,0)),"")</f>
        <v>60</v>
      </c>
      <c r="K496" s="16" t="n">
        <f aca="false">IFERROR(INDEX('Shift Master'!$G$5:$G$16,MATCH(G496,'Shift Master'!$A$5:$A$16,0)),0)</f>
        <v>8</v>
      </c>
      <c r="L496" s="16" t="s">
        <v>228</v>
      </c>
      <c r="M496" s="16" t="s">
        <v>229</v>
      </c>
      <c r="N496" s="16" t="str">
        <f aca="false">IF(COUNTIFS('Staffing Coverage'!$A$5:$A$12,E496,'Staffing Coverage'!$B$5:$B$12,G496)=0,"",IF(COUNTIFS($A$5:$A$10004,A496,$E$5:$E$10004,E496,$G$5:$G$10004,G496)&lt;INDEX('Staffing Coverage'!$C$5:$C$12,MATCH(1,('Staffing Coverage'!$A$5:$A$12=E496)*('Staffing Coverage'!$B$5:$B$12=G496),0)),"SHORT","OK"))</f>
        <v>OK</v>
      </c>
    </row>
    <row r="497" customFormat="false" ht="15" hidden="false" customHeight="false" outlineLevel="0" collapsed="false">
      <c r="A497" s="15" t="n">
        <v>46320</v>
      </c>
      <c r="B497" s="16" t="str">
        <f aca="false">TEXT(A497,"ddd")</f>
        <v>Sun</v>
      </c>
      <c r="C497" s="10" t="s">
        <v>188</v>
      </c>
      <c r="D497" s="16" t="str">
        <f aca="false">IFERROR(INDEX('Staff Master'!$B$5:$B$24,MATCH(C497,'Staff Master'!$A$5:$A$24,0)),"")</f>
        <v>Ana Reyes</v>
      </c>
      <c r="E497" s="16" t="str">
        <f aca="false">IFERROR(INDEX('Staff Master'!$D$5:$D$24,MATCH(C497,'Staff Master'!$A$5:$A$24,0)),"")</f>
        <v>Dental</v>
      </c>
      <c r="F497" s="16" t="str">
        <f aca="false">IFERROR(INDEX('Staff Master'!$E$5:$E$24,MATCH(C497,'Staff Master'!$A$5:$A$24,0)),"")</f>
        <v>Dental Assistant</v>
      </c>
      <c r="G497" s="10" t="s">
        <v>97</v>
      </c>
      <c r="H497" s="17" t="n">
        <f aca="false">IFERROR(INDEX('Shift Master'!$C$5:$C$16,MATCH(G497,'Shift Master'!$A$5:$A$16,0)),"")</f>
        <v>0</v>
      </c>
      <c r="I497" s="17" t="n">
        <f aca="false">IFERROR(INDEX('Shift Master'!$D$5:$D$16,MATCH(G497,'Shift Master'!$A$5:$A$16,0)),"")</f>
        <v>0</v>
      </c>
      <c r="J497" s="16" t="n">
        <f aca="false">IFERROR(INDEX('Shift Master'!$E$5:$E$16,MATCH(G497,'Shift Master'!$A$5:$A$16,0)),"")</f>
        <v>0</v>
      </c>
      <c r="K497" s="16" t="n">
        <f aca="false">IFERROR(INDEX('Shift Master'!$G$5:$G$16,MATCH(G497,'Shift Master'!$A$5:$A$16,0)),0)</f>
        <v>0</v>
      </c>
      <c r="L497" s="16" t="s">
        <v>228</v>
      </c>
      <c r="M497" s="16" t="s">
        <v>229</v>
      </c>
      <c r="N497" s="16" t="str">
        <f aca="false">IF(COUNTIFS('Staffing Coverage'!$A$5:$A$12,E497,'Staffing Coverage'!$B$5:$B$12,G497)=0,"",IF(COUNTIFS($A$5:$A$10004,A497,$E$5:$E$10004,E497,$G$5:$G$10004,G497)&lt;INDEX('Staffing Coverage'!$C$5:$C$12,MATCH(1,('Staffing Coverage'!$A$5:$A$12=E497)*('Staffing Coverage'!$B$5:$B$12=G497),0)),"SHORT","OK"))</f>
        <v/>
      </c>
    </row>
    <row r="498" customFormat="false" ht="15" hidden="false" customHeight="false" outlineLevel="0" collapsed="false">
      <c r="A498" s="15" t="n">
        <v>46320</v>
      </c>
      <c r="B498" s="16" t="str">
        <f aca="false">TEXT(A498,"ddd")</f>
        <v>Sun</v>
      </c>
      <c r="C498" s="10" t="s">
        <v>192</v>
      </c>
      <c r="D498" s="16" t="str">
        <f aca="false">IFERROR(INDEX('Staff Master'!$B$5:$B$24,MATCH(C498,'Staff Master'!$A$5:$A$24,0)),"")</f>
        <v>Noor Hassan</v>
      </c>
      <c r="E498" s="16" t="str">
        <f aca="false">IFERROR(INDEX('Staff Master'!$D$5:$D$24,MATCH(C498,'Staff Master'!$A$5:$A$24,0)),"")</f>
        <v>Dental</v>
      </c>
      <c r="F498" s="16" t="str">
        <f aca="false">IFERROR(INDEX('Staff Master'!$E$5:$E$24,MATCH(C498,'Staff Master'!$A$5:$A$24,0)),"")</f>
        <v>Dental Assistant</v>
      </c>
      <c r="G498" s="10" t="s">
        <v>90</v>
      </c>
      <c r="H498" s="17" t="n">
        <f aca="false">IFERROR(INDEX('Shift Master'!$C$5:$C$16,MATCH(G498,'Shift Master'!$A$5:$A$16,0)),"")</f>
        <v>0.375</v>
      </c>
      <c r="I498" s="17" t="n">
        <f aca="false">IFERROR(INDEX('Shift Master'!$D$5:$D$16,MATCH(G498,'Shift Master'!$A$5:$A$16,0)),"")</f>
        <v>0.75</v>
      </c>
      <c r="J498" s="16" t="n">
        <f aca="false">IFERROR(INDEX('Shift Master'!$E$5:$E$16,MATCH(G498,'Shift Master'!$A$5:$A$16,0)),"")</f>
        <v>60</v>
      </c>
      <c r="K498" s="16" t="n">
        <f aca="false">IFERROR(INDEX('Shift Master'!$G$5:$G$16,MATCH(G498,'Shift Master'!$A$5:$A$16,0)),0)</f>
        <v>8</v>
      </c>
      <c r="L498" s="16" t="s">
        <v>228</v>
      </c>
      <c r="M498" s="16" t="s">
        <v>229</v>
      </c>
      <c r="N498" s="16" t="str">
        <f aca="false">IF(COUNTIFS('Staffing Coverage'!$A$5:$A$12,E498,'Staffing Coverage'!$B$5:$B$12,G498)=0,"",IF(COUNTIFS($A$5:$A$10004,A498,$E$5:$E$10004,E498,$G$5:$G$10004,G498)&lt;INDEX('Staffing Coverage'!$C$5:$C$12,MATCH(1,('Staffing Coverage'!$A$5:$A$12=E498)*('Staffing Coverage'!$B$5:$B$12=G498),0)),"SHORT","OK"))</f>
        <v/>
      </c>
    </row>
    <row r="499" customFormat="false" ht="15" hidden="false" customHeight="false" outlineLevel="0" collapsed="false">
      <c r="A499" s="15" t="n">
        <v>46320</v>
      </c>
      <c r="B499" s="16" t="str">
        <f aca="false">TEXT(A499,"ddd")</f>
        <v>Sun</v>
      </c>
      <c r="C499" s="10" t="s">
        <v>196</v>
      </c>
      <c r="D499" s="16" t="str">
        <f aca="false">IFERROR(INDEX('Staff Master'!$B$5:$B$24,MATCH(C499,'Staff Master'!$A$5:$A$24,0)),"")</f>
        <v>Karan Mehta</v>
      </c>
      <c r="E499" s="16" t="str">
        <f aca="false">IFERROR(INDEX('Staff Master'!$D$5:$D$24,MATCH(C499,'Staff Master'!$A$5:$A$24,0)),"")</f>
        <v>Laser</v>
      </c>
      <c r="F499" s="16" t="str">
        <f aca="false">IFERROR(INDEX('Staff Master'!$E$5:$E$24,MATCH(C499,'Staff Master'!$A$5:$A$24,0)),"")</f>
        <v>Laser Technician</v>
      </c>
      <c r="G499" s="10" t="s">
        <v>90</v>
      </c>
      <c r="H499" s="17" t="n">
        <f aca="false">IFERROR(INDEX('Shift Master'!$C$5:$C$16,MATCH(G499,'Shift Master'!$A$5:$A$16,0)),"")</f>
        <v>0.375</v>
      </c>
      <c r="I499" s="17" t="n">
        <f aca="false">IFERROR(INDEX('Shift Master'!$D$5:$D$16,MATCH(G499,'Shift Master'!$A$5:$A$16,0)),"")</f>
        <v>0.75</v>
      </c>
      <c r="J499" s="16" t="n">
        <f aca="false">IFERROR(INDEX('Shift Master'!$E$5:$E$16,MATCH(G499,'Shift Master'!$A$5:$A$16,0)),"")</f>
        <v>60</v>
      </c>
      <c r="K499" s="16" t="n">
        <f aca="false">IFERROR(INDEX('Shift Master'!$G$5:$G$16,MATCH(G499,'Shift Master'!$A$5:$A$16,0)),0)</f>
        <v>8</v>
      </c>
      <c r="L499" s="16" t="s">
        <v>228</v>
      </c>
      <c r="M499" s="16" t="s">
        <v>229</v>
      </c>
      <c r="N499" s="16" t="str">
        <f aca="false">IF(COUNTIFS('Staffing Coverage'!$A$5:$A$12,E499,'Staffing Coverage'!$B$5:$B$12,G499)=0,"",IF(COUNTIFS($A$5:$A$10004,A499,$E$5:$E$10004,E499,$G$5:$G$10004,G499)&lt;INDEX('Staffing Coverage'!$C$5:$C$12,MATCH(1,('Staffing Coverage'!$A$5:$A$12=E499)*('Staffing Coverage'!$B$5:$B$12=G499),0)),"SHORT","OK"))</f>
        <v/>
      </c>
    </row>
    <row r="500" customFormat="false" ht="15" hidden="false" customHeight="false" outlineLevel="0" collapsed="false">
      <c r="A500" s="15" t="n">
        <v>46320</v>
      </c>
      <c r="B500" s="16" t="str">
        <f aca="false">TEXT(A500,"ddd")</f>
        <v>Sun</v>
      </c>
      <c r="C500" s="10" t="s">
        <v>200</v>
      </c>
      <c r="D500" s="16" t="str">
        <f aca="false">IFERROR(INDEX('Staff Master'!$B$5:$B$24,MATCH(C500,'Staff Master'!$A$5:$A$24,0)),"")</f>
        <v>Imran Sheikh</v>
      </c>
      <c r="E500" s="16" t="str">
        <f aca="false">IFERROR(INDEX('Staff Master'!$D$5:$D$24,MATCH(C500,'Staff Master'!$A$5:$A$24,0)),"")</f>
        <v>Dental Laboratory</v>
      </c>
      <c r="F500" s="16" t="str">
        <f aca="false">IFERROR(INDEX('Staff Master'!$E$5:$E$24,MATCH(C500,'Staff Master'!$A$5:$A$24,0)),"")</f>
        <v>Dental Technician</v>
      </c>
      <c r="G500" s="10" t="s">
        <v>87</v>
      </c>
      <c r="H500" s="17" t="n">
        <f aca="false">IFERROR(INDEX('Shift Master'!$C$5:$C$16,MATCH(G500,'Shift Master'!$A$5:$A$16,0)),"")</f>
        <v>0.333333333333333</v>
      </c>
      <c r="I500" s="17" t="n">
        <f aca="false">IFERROR(INDEX('Shift Master'!$D$5:$D$16,MATCH(G500,'Shift Master'!$A$5:$A$16,0)),"")</f>
        <v>0.708333333333333</v>
      </c>
      <c r="J500" s="16" t="n">
        <f aca="false">IFERROR(INDEX('Shift Master'!$E$5:$E$16,MATCH(G500,'Shift Master'!$A$5:$A$16,0)),"")</f>
        <v>60</v>
      </c>
      <c r="K500" s="16" t="n">
        <f aca="false">IFERROR(INDEX('Shift Master'!$G$5:$G$16,MATCH(G500,'Shift Master'!$A$5:$A$16,0)),0)</f>
        <v>8</v>
      </c>
      <c r="L500" s="16" t="s">
        <v>228</v>
      </c>
      <c r="M500" s="16" t="s">
        <v>229</v>
      </c>
      <c r="N500" s="16" t="str">
        <f aca="false">IF(COUNTIFS('Staffing Coverage'!$A$5:$A$12,E500,'Staffing Coverage'!$B$5:$B$12,G500)=0,"",IF(COUNTIFS($A$5:$A$10004,A500,$E$5:$E$10004,E500,$G$5:$G$10004,G500)&lt;INDEX('Staffing Coverage'!$C$5:$C$12,MATCH(1,('Staffing Coverage'!$A$5:$A$12=E500)*('Staffing Coverage'!$B$5:$B$12=G500),0)),"SHORT","OK"))</f>
        <v/>
      </c>
    </row>
    <row r="501" customFormat="false" ht="15" hidden="false" customHeight="false" outlineLevel="0" collapsed="false">
      <c r="A501" s="15" t="n">
        <v>46320</v>
      </c>
      <c r="B501" s="16" t="str">
        <f aca="false">TEXT(A501,"ddd")</f>
        <v>Sun</v>
      </c>
      <c r="C501" s="10" t="s">
        <v>204</v>
      </c>
      <c r="D501" s="16" t="str">
        <f aca="false">IFERROR(INDEX('Staff Master'!$B$5:$B$24,MATCH(C501,'Staff Master'!$A$5:$A$24,0)),"")</f>
        <v>Josephine Cruz</v>
      </c>
      <c r="E501" s="16" t="str">
        <f aca="false">IFERROR(INDEX('Staff Master'!$D$5:$D$24,MATCH(C501,'Staff Master'!$A$5:$A$24,0)),"")</f>
        <v>CSSD</v>
      </c>
      <c r="F501" s="16" t="str">
        <f aca="false">IFERROR(INDEX('Staff Master'!$E$5:$E$24,MATCH(C501,'Staff Master'!$A$5:$A$24,0)),"")</f>
        <v>CSSD Technician</v>
      </c>
      <c r="G501" s="10" t="s">
        <v>97</v>
      </c>
      <c r="H501" s="17" t="n">
        <f aca="false">IFERROR(INDEX('Shift Master'!$C$5:$C$16,MATCH(G501,'Shift Master'!$A$5:$A$16,0)),"")</f>
        <v>0</v>
      </c>
      <c r="I501" s="17" t="n">
        <f aca="false">IFERROR(INDEX('Shift Master'!$D$5:$D$16,MATCH(G501,'Shift Master'!$A$5:$A$16,0)),"")</f>
        <v>0</v>
      </c>
      <c r="J501" s="16" t="n">
        <f aca="false">IFERROR(INDEX('Shift Master'!$E$5:$E$16,MATCH(G501,'Shift Master'!$A$5:$A$16,0)),"")</f>
        <v>0</v>
      </c>
      <c r="K501" s="16" t="n">
        <f aca="false">IFERROR(INDEX('Shift Master'!$G$5:$G$16,MATCH(G501,'Shift Master'!$A$5:$A$16,0)),0)</f>
        <v>0</v>
      </c>
      <c r="L501" s="16" t="s">
        <v>228</v>
      </c>
      <c r="M501" s="16" t="s">
        <v>229</v>
      </c>
      <c r="N501" s="16" t="str">
        <f aca="false">IF(COUNTIFS('Staffing Coverage'!$A$5:$A$12,E501,'Staffing Coverage'!$B$5:$B$12,G501)=0,"",IF(COUNTIFS($A$5:$A$10004,A501,$E$5:$E$10004,E501,$G$5:$G$10004,G501)&lt;INDEX('Staffing Coverage'!$C$5:$C$12,MATCH(1,('Staffing Coverage'!$A$5:$A$12=E501)*('Staffing Coverage'!$B$5:$B$12=G501),0)),"SHORT","OK"))</f>
        <v/>
      </c>
    </row>
    <row r="502" customFormat="false" ht="15" hidden="false" customHeight="false" outlineLevel="0" collapsed="false">
      <c r="A502" s="15" t="n">
        <v>46320</v>
      </c>
      <c r="B502" s="16" t="str">
        <f aca="false">TEXT(A502,"ddd")</f>
        <v>Sun</v>
      </c>
      <c r="C502" s="10" t="s">
        <v>208</v>
      </c>
      <c r="D502" s="16" t="str">
        <f aca="false">IFERROR(INDEX('Staff Master'!$B$5:$B$24,MATCH(C502,'Staff Master'!$A$5:$A$24,0)),"")</f>
        <v>Rosalyn Tan</v>
      </c>
      <c r="E502" s="16" t="str">
        <f aca="false">IFERROR(INDEX('Staff Master'!$D$5:$D$24,MATCH(C502,'Staff Master'!$A$5:$A$24,0)),"")</f>
        <v>Cleaning</v>
      </c>
      <c r="F502" s="16" t="str">
        <f aca="false">IFERROR(INDEX('Staff Master'!$E$5:$E$24,MATCH(C502,'Staff Master'!$A$5:$A$24,0)),"")</f>
        <v>Cleaner</v>
      </c>
      <c r="G502" s="10" t="s">
        <v>87</v>
      </c>
      <c r="H502" s="17" t="n">
        <f aca="false">IFERROR(INDEX('Shift Master'!$C$5:$C$16,MATCH(G502,'Shift Master'!$A$5:$A$16,0)),"")</f>
        <v>0.333333333333333</v>
      </c>
      <c r="I502" s="17" t="n">
        <f aca="false">IFERROR(INDEX('Shift Master'!$D$5:$D$16,MATCH(G502,'Shift Master'!$A$5:$A$16,0)),"")</f>
        <v>0.708333333333333</v>
      </c>
      <c r="J502" s="16" t="n">
        <f aca="false">IFERROR(INDEX('Shift Master'!$E$5:$E$16,MATCH(G502,'Shift Master'!$A$5:$A$16,0)),"")</f>
        <v>60</v>
      </c>
      <c r="K502" s="16" t="n">
        <f aca="false">IFERROR(INDEX('Shift Master'!$G$5:$G$16,MATCH(G502,'Shift Master'!$A$5:$A$16,0)),0)</f>
        <v>8</v>
      </c>
      <c r="L502" s="16" t="s">
        <v>228</v>
      </c>
      <c r="M502" s="16" t="s">
        <v>229</v>
      </c>
      <c r="N502" s="16" t="str">
        <f aca="false">IF(COUNTIFS('Staffing Coverage'!$A$5:$A$12,E502,'Staffing Coverage'!$B$5:$B$12,G502)=0,"",IF(COUNTIFS($A$5:$A$10004,A502,$E$5:$E$10004,E502,$G$5:$G$10004,G502)&lt;INDEX('Staffing Coverage'!$C$5:$C$12,MATCH(1,('Staffing Coverage'!$A$5:$A$12=E502)*('Staffing Coverage'!$B$5:$B$12=G502),0)),"SHORT","OK"))</f>
        <v>OK</v>
      </c>
    </row>
    <row r="503" customFormat="false" ht="15" hidden="false" customHeight="false" outlineLevel="0" collapsed="false">
      <c r="A503" s="15" t="n">
        <v>46320</v>
      </c>
      <c r="B503" s="16" t="str">
        <f aca="false">TEXT(A503,"ddd")</f>
        <v>Sun</v>
      </c>
      <c r="C503" s="10" t="s">
        <v>212</v>
      </c>
      <c r="D503" s="16" t="str">
        <f aca="false">IFERROR(INDEX('Staff Master'!$B$5:$B$24,MATCH(C503,'Staff Master'!$A$5:$A$24,0)),"")</f>
        <v>Hassan Baig</v>
      </c>
      <c r="E503" s="16" t="str">
        <f aca="false">IFERROR(INDEX('Staff Master'!$D$5:$D$24,MATCH(C503,'Staff Master'!$A$5:$A$24,0)),"")</f>
        <v>Facilities</v>
      </c>
      <c r="F503" s="16" t="str">
        <f aca="false">IFERROR(INDEX('Staff Master'!$E$5:$E$24,MATCH(C503,'Staff Master'!$A$5:$A$24,0)),"")</f>
        <v>Facility Manager</v>
      </c>
      <c r="G503" s="10" t="s">
        <v>90</v>
      </c>
      <c r="H503" s="17" t="n">
        <f aca="false">IFERROR(INDEX('Shift Master'!$C$5:$C$16,MATCH(G503,'Shift Master'!$A$5:$A$16,0)),"")</f>
        <v>0.375</v>
      </c>
      <c r="I503" s="17" t="n">
        <f aca="false">IFERROR(INDEX('Shift Master'!$D$5:$D$16,MATCH(G503,'Shift Master'!$A$5:$A$16,0)),"")</f>
        <v>0.75</v>
      </c>
      <c r="J503" s="16" t="n">
        <f aca="false">IFERROR(INDEX('Shift Master'!$E$5:$E$16,MATCH(G503,'Shift Master'!$A$5:$A$16,0)),"")</f>
        <v>60</v>
      </c>
      <c r="K503" s="16" t="n">
        <f aca="false">IFERROR(INDEX('Shift Master'!$G$5:$G$16,MATCH(G503,'Shift Master'!$A$5:$A$16,0)),0)</f>
        <v>8</v>
      </c>
      <c r="L503" s="16" t="s">
        <v>228</v>
      </c>
      <c r="M503" s="16" t="s">
        <v>229</v>
      </c>
      <c r="N503" s="16" t="str">
        <f aca="false">IF(COUNTIFS('Staffing Coverage'!$A$5:$A$12,E503,'Staffing Coverage'!$B$5:$B$12,G503)=0,"",IF(COUNTIFS($A$5:$A$10004,A503,$E$5:$E$10004,E503,$G$5:$G$10004,G503)&lt;INDEX('Staffing Coverage'!$C$5:$C$12,MATCH(1,('Staffing Coverage'!$A$5:$A$12=E503)*('Staffing Coverage'!$B$5:$B$12=G503),0)),"SHORT","OK"))</f>
        <v/>
      </c>
    </row>
    <row r="504" customFormat="false" ht="15" hidden="false" customHeight="false" outlineLevel="0" collapsed="false">
      <c r="A504" s="15" t="n">
        <v>46320</v>
      </c>
      <c r="B504" s="16" t="str">
        <f aca="false">TEXT(A504,"ddd")</f>
        <v>Sun</v>
      </c>
      <c r="C504" s="10" t="s">
        <v>178</v>
      </c>
      <c r="D504" s="16" t="str">
        <f aca="false">IFERROR(INDEX('Staff Master'!$B$5:$B$24,MATCH(C504,'Staff Master'!$A$5:$A$24,0)),"")</f>
        <v>Meera Pillai</v>
      </c>
      <c r="E504" s="16" t="str">
        <f aca="false">IFERROR(INDEX('Staff Master'!$D$5:$D$24,MATCH(C504,'Staff Master'!$A$5:$A$24,0)),"")</f>
        <v>HR</v>
      </c>
      <c r="F504" s="16" t="str">
        <f aca="false">IFERROR(INDEX('Staff Master'!$E$5:$E$24,MATCH(C504,'Staff Master'!$A$5:$A$24,0)),"")</f>
        <v>HR Executive</v>
      </c>
      <c r="G504" s="10" t="s">
        <v>90</v>
      </c>
      <c r="H504" s="17" t="n">
        <f aca="false">IFERROR(INDEX('Shift Master'!$C$5:$C$16,MATCH(G504,'Shift Master'!$A$5:$A$16,0)),"")</f>
        <v>0.375</v>
      </c>
      <c r="I504" s="17" t="n">
        <f aca="false">IFERROR(INDEX('Shift Master'!$D$5:$D$16,MATCH(G504,'Shift Master'!$A$5:$A$16,0)),"")</f>
        <v>0.75</v>
      </c>
      <c r="J504" s="16" t="n">
        <f aca="false">IFERROR(INDEX('Shift Master'!$E$5:$E$16,MATCH(G504,'Shift Master'!$A$5:$A$16,0)),"")</f>
        <v>60</v>
      </c>
      <c r="K504" s="16" t="n">
        <f aca="false">IFERROR(INDEX('Shift Master'!$G$5:$G$16,MATCH(G504,'Shift Master'!$A$5:$A$16,0)),0)</f>
        <v>8</v>
      </c>
      <c r="L504" s="16" t="s">
        <v>228</v>
      </c>
      <c r="M504" s="16" t="s">
        <v>229</v>
      </c>
      <c r="N504" s="16" t="str">
        <f aca="false">IF(COUNTIFS('Staffing Coverage'!$A$5:$A$12,E504,'Staffing Coverage'!$B$5:$B$12,G504)=0,"",IF(COUNTIFS($A$5:$A$10004,A504,$E$5:$E$10004,E504,$G$5:$G$10004,G504)&lt;INDEX('Staffing Coverage'!$C$5:$C$12,MATCH(1,('Staffing Coverage'!$A$5:$A$12=E504)*('Staffing Coverage'!$B$5:$B$12=G504),0)),"SHORT","OK"))</f>
        <v/>
      </c>
    </row>
    <row r="505" customFormat="false" ht="15" hidden="false" customHeight="false" outlineLevel="0" collapsed="false">
      <c r="A505" s="15" t="n">
        <v>46321</v>
      </c>
      <c r="B505" s="16" t="str">
        <f aca="false">TEXT(A505,"ddd")</f>
        <v>Mon</v>
      </c>
      <c r="C505" s="10" t="s">
        <v>128</v>
      </c>
      <c r="D505" s="16" t="str">
        <f aca="false">IFERROR(INDEX('Staff Master'!$B$5:$B$24,MATCH(C505,'Staff Master'!$A$5:$A$24,0)),"")</f>
        <v>Rashid Al Nuaimi</v>
      </c>
      <c r="E505" s="16" t="str">
        <f aca="false">IFERROR(INDEX('Staff Master'!$D$5:$D$24,MATCH(C505,'Staff Master'!$A$5:$A$24,0)),"")</f>
        <v>Management</v>
      </c>
      <c r="F505" s="16" t="str">
        <f aca="false">IFERROR(INDEX('Staff Master'!$E$5:$E$24,MATCH(C505,'Staff Master'!$A$5:$A$24,0)),"")</f>
        <v>CEO</v>
      </c>
      <c r="G505" s="10" t="s">
        <v>90</v>
      </c>
      <c r="H505" s="17" t="n">
        <f aca="false">IFERROR(INDEX('Shift Master'!$C$5:$C$16,MATCH(G505,'Shift Master'!$A$5:$A$16,0)),"")</f>
        <v>0.375</v>
      </c>
      <c r="I505" s="17" t="n">
        <f aca="false">IFERROR(INDEX('Shift Master'!$D$5:$D$16,MATCH(G505,'Shift Master'!$A$5:$A$16,0)),"")</f>
        <v>0.75</v>
      </c>
      <c r="J505" s="16" t="n">
        <f aca="false">IFERROR(INDEX('Shift Master'!$E$5:$E$16,MATCH(G505,'Shift Master'!$A$5:$A$16,0)),"")</f>
        <v>60</v>
      </c>
      <c r="K505" s="16" t="n">
        <f aca="false">IFERROR(INDEX('Shift Master'!$G$5:$G$16,MATCH(G505,'Shift Master'!$A$5:$A$16,0)),0)</f>
        <v>8</v>
      </c>
      <c r="L505" s="16" t="s">
        <v>228</v>
      </c>
      <c r="M505" s="16" t="s">
        <v>229</v>
      </c>
      <c r="N505" s="16" t="str">
        <f aca="false">IF(COUNTIFS('Staffing Coverage'!$A$5:$A$12,E505,'Staffing Coverage'!$B$5:$B$12,G505)=0,"",IF(COUNTIFS($A$5:$A$10004,A505,$E$5:$E$10004,E505,$G$5:$G$10004,G505)&lt;INDEX('Staffing Coverage'!$C$5:$C$12,MATCH(1,('Staffing Coverage'!$A$5:$A$12=E505)*('Staffing Coverage'!$B$5:$B$12=G505),0)),"SHORT","OK"))</f>
        <v/>
      </c>
    </row>
    <row r="506" customFormat="false" ht="15" hidden="false" customHeight="false" outlineLevel="0" collapsed="false">
      <c r="A506" s="15" t="n">
        <v>46321</v>
      </c>
      <c r="B506" s="16" t="str">
        <f aca="false">TEXT(A506,"ddd")</f>
        <v>Mon</v>
      </c>
      <c r="C506" s="10" t="s">
        <v>137</v>
      </c>
      <c r="D506" s="16" t="str">
        <f aca="false">IFERROR(INDEX('Staff Master'!$B$5:$B$24,MATCH(C506,'Staff Master'!$A$5:$A$24,0)),"")</f>
        <v>Dr. Sara Haddad</v>
      </c>
      <c r="E506" s="16" t="str">
        <f aca="false">IFERROR(INDEX('Staff Master'!$D$5:$D$24,MATCH(C506,'Staff Master'!$A$5:$A$24,0)),"")</f>
        <v>General Practice</v>
      </c>
      <c r="F506" s="16" t="str">
        <f aca="false">IFERROR(INDEX('Staff Master'!$E$5:$E$24,MATCH(C506,'Staff Master'!$A$5:$A$24,0)),"")</f>
        <v>Medical Director</v>
      </c>
      <c r="G506" s="10" t="s">
        <v>96</v>
      </c>
      <c r="H506" s="17" t="n">
        <f aca="false">IFERROR(INDEX('Shift Master'!$C$5:$C$16,MATCH(G506,'Shift Master'!$A$5:$A$16,0)),"")</f>
        <v>0.375</v>
      </c>
      <c r="I506" s="17" t="n">
        <f aca="false">IFERROR(INDEX('Shift Master'!$D$5:$D$16,MATCH(G506,'Shift Master'!$A$5:$A$16,0)),"")</f>
        <v>0.708333333333333</v>
      </c>
      <c r="J506" s="16" t="n">
        <f aca="false">IFERROR(INDEX('Shift Master'!$E$5:$E$16,MATCH(G506,'Shift Master'!$A$5:$A$16,0)),"")</f>
        <v>60</v>
      </c>
      <c r="K506" s="16" t="n">
        <f aca="false">IFERROR(INDEX('Shift Master'!$G$5:$G$16,MATCH(G506,'Shift Master'!$A$5:$A$16,0)),0)</f>
        <v>7</v>
      </c>
      <c r="L506" s="16" t="s">
        <v>228</v>
      </c>
      <c r="M506" s="16" t="s">
        <v>229</v>
      </c>
      <c r="N506" s="16" t="str">
        <f aca="false">IF(COUNTIFS('Staffing Coverage'!$A$5:$A$12,E506,'Staffing Coverage'!$B$5:$B$12,G506)=0,"",IF(COUNTIFS($A$5:$A$10004,A506,$E$5:$E$10004,E506,$G$5:$G$10004,G506)&lt;INDEX('Staffing Coverage'!$C$5:$C$12,MATCH(1,('Staffing Coverage'!$A$5:$A$12=E506)*('Staffing Coverage'!$B$5:$B$12=G506),0)),"SHORT","OK"))</f>
        <v/>
      </c>
    </row>
    <row r="507" customFormat="false" ht="15" hidden="false" customHeight="false" outlineLevel="0" collapsed="false">
      <c r="A507" s="15" t="n">
        <v>46321</v>
      </c>
      <c r="B507" s="16" t="str">
        <f aca="false">TEXT(A507,"ddd")</f>
        <v>Mon</v>
      </c>
      <c r="C507" s="10" t="s">
        <v>142</v>
      </c>
      <c r="D507" s="16" t="str">
        <f aca="false">IFERROR(INDEX('Staff Master'!$B$5:$B$24,MATCH(C507,'Staff Master'!$A$5:$A$24,0)),"")</f>
        <v>Dr. Omar Khalil</v>
      </c>
      <c r="E507" s="16" t="str">
        <f aca="false">IFERROR(INDEX('Staff Master'!$D$5:$D$24,MATCH(C507,'Staff Master'!$A$5:$A$24,0)),"")</f>
        <v>General Practice</v>
      </c>
      <c r="F507" s="16" t="str">
        <f aca="false">IFERROR(INDEX('Staff Master'!$E$5:$E$24,MATCH(C507,'Staff Master'!$A$5:$A$24,0)),"")</f>
        <v>Doctor</v>
      </c>
      <c r="G507" s="10" t="s">
        <v>96</v>
      </c>
      <c r="H507" s="17" t="n">
        <f aca="false">IFERROR(INDEX('Shift Master'!$C$5:$C$16,MATCH(G507,'Shift Master'!$A$5:$A$16,0)),"")</f>
        <v>0.375</v>
      </c>
      <c r="I507" s="17" t="n">
        <f aca="false">IFERROR(INDEX('Shift Master'!$D$5:$D$16,MATCH(G507,'Shift Master'!$A$5:$A$16,0)),"")</f>
        <v>0.708333333333333</v>
      </c>
      <c r="J507" s="16" t="n">
        <f aca="false">IFERROR(INDEX('Shift Master'!$E$5:$E$16,MATCH(G507,'Shift Master'!$A$5:$A$16,0)),"")</f>
        <v>60</v>
      </c>
      <c r="K507" s="16" t="n">
        <f aca="false">IFERROR(INDEX('Shift Master'!$G$5:$G$16,MATCH(G507,'Shift Master'!$A$5:$A$16,0)),0)</f>
        <v>7</v>
      </c>
      <c r="L507" s="16" t="s">
        <v>228</v>
      </c>
      <c r="M507" s="16" t="s">
        <v>229</v>
      </c>
      <c r="N507" s="16" t="str">
        <f aca="false">IF(COUNTIFS('Staffing Coverage'!$A$5:$A$12,E507,'Staffing Coverage'!$B$5:$B$12,G507)=0,"",IF(COUNTIFS($A$5:$A$10004,A507,$E$5:$E$10004,E507,$G$5:$G$10004,G507)&lt;INDEX('Staffing Coverage'!$C$5:$C$12,MATCH(1,('Staffing Coverage'!$A$5:$A$12=E507)*('Staffing Coverage'!$B$5:$B$12=G507),0)),"SHORT","OK"))</f>
        <v/>
      </c>
    </row>
    <row r="508" customFormat="false" ht="15" hidden="false" customHeight="false" outlineLevel="0" collapsed="false">
      <c r="A508" s="15" t="n">
        <v>46321</v>
      </c>
      <c r="B508" s="16" t="str">
        <f aca="false">TEXT(A508,"ddd")</f>
        <v>Mon</v>
      </c>
      <c r="C508" s="10" t="s">
        <v>146</v>
      </c>
      <c r="D508" s="16" t="str">
        <f aca="false">IFERROR(INDEX('Staff Master'!$B$5:$B$24,MATCH(C508,'Staff Master'!$A$5:$A$24,0)),"")</f>
        <v>Dr. Lina Abboud</v>
      </c>
      <c r="E508" s="16" t="str">
        <f aca="false">IFERROR(INDEX('Staff Master'!$D$5:$D$24,MATCH(C508,'Staff Master'!$A$5:$A$24,0)),"")</f>
        <v>Dental</v>
      </c>
      <c r="F508" s="16" t="str">
        <f aca="false">IFERROR(INDEX('Staff Master'!$E$5:$E$24,MATCH(C508,'Staff Master'!$A$5:$A$24,0)),"")</f>
        <v>Dentist</v>
      </c>
      <c r="G508" s="10" t="s">
        <v>96</v>
      </c>
      <c r="H508" s="17" t="n">
        <f aca="false">IFERROR(INDEX('Shift Master'!$C$5:$C$16,MATCH(G508,'Shift Master'!$A$5:$A$16,0)),"")</f>
        <v>0.375</v>
      </c>
      <c r="I508" s="17" t="n">
        <f aca="false">IFERROR(INDEX('Shift Master'!$D$5:$D$16,MATCH(G508,'Shift Master'!$A$5:$A$16,0)),"")</f>
        <v>0.708333333333333</v>
      </c>
      <c r="J508" s="16" t="n">
        <f aca="false">IFERROR(INDEX('Shift Master'!$E$5:$E$16,MATCH(G508,'Shift Master'!$A$5:$A$16,0)),"")</f>
        <v>60</v>
      </c>
      <c r="K508" s="16" t="n">
        <f aca="false">IFERROR(INDEX('Shift Master'!$G$5:$G$16,MATCH(G508,'Shift Master'!$A$5:$A$16,0)),0)</f>
        <v>7</v>
      </c>
      <c r="L508" s="16" t="s">
        <v>228</v>
      </c>
      <c r="M508" s="16" t="s">
        <v>229</v>
      </c>
      <c r="N508" s="16" t="str">
        <f aca="false">IF(COUNTIFS('Staffing Coverage'!$A$5:$A$12,E508,'Staffing Coverage'!$B$5:$B$12,G508)=0,"",IF(COUNTIFS($A$5:$A$10004,A508,$E$5:$E$10004,E508,$G$5:$G$10004,G508)&lt;INDEX('Staffing Coverage'!$C$5:$C$12,MATCH(1,('Staffing Coverage'!$A$5:$A$12=E508)*('Staffing Coverage'!$B$5:$B$12=G508),0)),"SHORT","OK"))</f>
        <v/>
      </c>
    </row>
    <row r="509" customFormat="false" ht="15" hidden="false" customHeight="false" outlineLevel="0" collapsed="false">
      <c r="A509" s="15" t="n">
        <v>46321</v>
      </c>
      <c r="B509" s="16" t="str">
        <f aca="false">TEXT(A509,"ddd")</f>
        <v>Mon</v>
      </c>
      <c r="C509" s="10" t="s">
        <v>150</v>
      </c>
      <c r="D509" s="16" t="str">
        <f aca="false">IFERROR(INDEX('Staff Master'!$B$5:$B$24,MATCH(C509,'Staff Master'!$A$5:$A$24,0)),"")</f>
        <v>Dr. Farah Idris</v>
      </c>
      <c r="E509" s="16" t="str">
        <f aca="false">IFERROR(INDEX('Staff Master'!$D$5:$D$24,MATCH(C509,'Staff Master'!$A$5:$A$24,0)),"")</f>
        <v>Dental</v>
      </c>
      <c r="F509" s="16" t="str">
        <f aca="false">IFERROR(INDEX('Staff Master'!$E$5:$E$24,MATCH(C509,'Staff Master'!$A$5:$A$24,0)),"")</f>
        <v>Dentist</v>
      </c>
      <c r="G509" s="10" t="s">
        <v>96</v>
      </c>
      <c r="H509" s="17" t="n">
        <f aca="false">IFERROR(INDEX('Shift Master'!$C$5:$C$16,MATCH(G509,'Shift Master'!$A$5:$A$16,0)),"")</f>
        <v>0.375</v>
      </c>
      <c r="I509" s="17" t="n">
        <f aca="false">IFERROR(INDEX('Shift Master'!$D$5:$D$16,MATCH(G509,'Shift Master'!$A$5:$A$16,0)),"")</f>
        <v>0.708333333333333</v>
      </c>
      <c r="J509" s="16" t="n">
        <f aca="false">IFERROR(INDEX('Shift Master'!$E$5:$E$16,MATCH(G509,'Shift Master'!$A$5:$A$16,0)),"")</f>
        <v>60</v>
      </c>
      <c r="K509" s="16" t="n">
        <f aca="false">IFERROR(INDEX('Shift Master'!$G$5:$G$16,MATCH(G509,'Shift Master'!$A$5:$A$16,0)),0)</f>
        <v>7</v>
      </c>
      <c r="L509" s="16" t="s">
        <v>228</v>
      </c>
      <c r="M509" s="16" t="s">
        <v>229</v>
      </c>
      <c r="N509" s="16" t="str">
        <f aca="false">IF(COUNTIFS('Staffing Coverage'!$A$5:$A$12,E509,'Staffing Coverage'!$B$5:$B$12,G509)=0,"",IF(COUNTIFS($A$5:$A$10004,A509,$E$5:$E$10004,E509,$G$5:$G$10004,G509)&lt;INDEX('Staffing Coverage'!$C$5:$C$12,MATCH(1,('Staffing Coverage'!$A$5:$A$12=E509)*('Staffing Coverage'!$B$5:$B$12=G509),0)),"SHORT","OK"))</f>
        <v/>
      </c>
    </row>
    <row r="510" customFormat="false" ht="15" hidden="false" customHeight="false" outlineLevel="0" collapsed="false">
      <c r="A510" s="15" t="n">
        <v>46321</v>
      </c>
      <c r="B510" s="16" t="str">
        <f aca="false">TEXT(A510,"ddd")</f>
        <v>Mon</v>
      </c>
      <c r="C510" s="10" t="s">
        <v>157</v>
      </c>
      <c r="D510" s="16" t="str">
        <f aca="false">IFERROR(INDEX('Staff Master'!$B$5:$B$24,MATCH(C510,'Staff Master'!$A$5:$A$24,0)),"")</f>
        <v>Dr. Youssef Nassar</v>
      </c>
      <c r="E510" s="16" t="str">
        <f aca="false">IFERROR(INDEX('Staff Master'!$D$5:$D$24,MATCH(C510,'Staff Master'!$A$5:$A$24,0)),"")</f>
        <v>General Practice</v>
      </c>
      <c r="F510" s="16" t="str">
        <f aca="false">IFERROR(INDEX('Staff Master'!$E$5:$E$24,MATCH(C510,'Staff Master'!$A$5:$A$24,0)),"")</f>
        <v>General Practitioner</v>
      </c>
      <c r="G510" s="10" t="s">
        <v>96</v>
      </c>
      <c r="H510" s="17" t="n">
        <f aca="false">IFERROR(INDEX('Shift Master'!$C$5:$C$16,MATCH(G510,'Shift Master'!$A$5:$A$16,0)),"")</f>
        <v>0.375</v>
      </c>
      <c r="I510" s="17" t="n">
        <f aca="false">IFERROR(INDEX('Shift Master'!$D$5:$D$16,MATCH(G510,'Shift Master'!$A$5:$A$16,0)),"")</f>
        <v>0.708333333333333</v>
      </c>
      <c r="J510" s="16" t="n">
        <f aca="false">IFERROR(INDEX('Shift Master'!$E$5:$E$16,MATCH(G510,'Shift Master'!$A$5:$A$16,0)),"")</f>
        <v>60</v>
      </c>
      <c r="K510" s="16" t="n">
        <f aca="false">IFERROR(INDEX('Shift Master'!$G$5:$G$16,MATCH(G510,'Shift Master'!$A$5:$A$16,0)),0)</f>
        <v>7</v>
      </c>
      <c r="L510" s="16" t="s">
        <v>228</v>
      </c>
      <c r="M510" s="16" t="s">
        <v>229</v>
      </c>
      <c r="N510" s="16" t="str">
        <f aca="false">IF(COUNTIFS('Staffing Coverage'!$A$5:$A$12,E510,'Staffing Coverage'!$B$5:$B$12,G510)=0,"",IF(COUNTIFS($A$5:$A$10004,A510,$E$5:$E$10004,E510,$G$5:$G$10004,G510)&lt;INDEX('Staffing Coverage'!$C$5:$C$12,MATCH(1,('Staffing Coverage'!$A$5:$A$12=E510)*('Staffing Coverage'!$B$5:$B$12=G510),0)),"SHORT","OK"))</f>
        <v/>
      </c>
    </row>
    <row r="511" customFormat="false" ht="15" hidden="false" customHeight="false" outlineLevel="0" collapsed="false">
      <c r="A511" s="15" t="n">
        <v>46321</v>
      </c>
      <c r="B511" s="16" t="str">
        <f aca="false">TEXT(A511,"ddd")</f>
        <v>Mon</v>
      </c>
      <c r="C511" s="10" t="s">
        <v>161</v>
      </c>
      <c r="D511" s="16" t="str">
        <f aca="false">IFERROR(INDEX('Staff Master'!$B$5:$B$24,MATCH(C511,'Staff Master'!$A$5:$A$24,0)),"")</f>
        <v>Grace Fernandez</v>
      </c>
      <c r="E511" s="16" t="str">
        <f aca="false">IFERROR(INDEX('Staff Master'!$D$5:$D$24,MATCH(C511,'Staff Master'!$A$5:$A$24,0)),"")</f>
        <v>Nursing</v>
      </c>
      <c r="F511" s="16" t="str">
        <f aca="false">IFERROR(INDEX('Staff Master'!$E$5:$E$24,MATCH(C511,'Staff Master'!$A$5:$A$24,0)),"")</f>
        <v>Nurse</v>
      </c>
      <c r="G511" s="10" t="s">
        <v>87</v>
      </c>
      <c r="H511" s="17" t="n">
        <f aca="false">IFERROR(INDEX('Shift Master'!$C$5:$C$16,MATCH(G511,'Shift Master'!$A$5:$A$16,0)),"")</f>
        <v>0.333333333333333</v>
      </c>
      <c r="I511" s="17" t="n">
        <f aca="false">IFERROR(INDEX('Shift Master'!$D$5:$D$16,MATCH(G511,'Shift Master'!$A$5:$A$16,0)),"")</f>
        <v>0.708333333333333</v>
      </c>
      <c r="J511" s="16" t="n">
        <f aca="false">IFERROR(INDEX('Shift Master'!$E$5:$E$16,MATCH(G511,'Shift Master'!$A$5:$A$16,0)),"")</f>
        <v>60</v>
      </c>
      <c r="K511" s="16" t="n">
        <f aca="false">IFERROR(INDEX('Shift Master'!$G$5:$G$16,MATCH(G511,'Shift Master'!$A$5:$A$16,0)),0)</f>
        <v>8</v>
      </c>
      <c r="L511" s="16" t="s">
        <v>228</v>
      </c>
      <c r="M511" s="16" t="s">
        <v>229</v>
      </c>
      <c r="N511" s="16" t="str">
        <f aca="false">IF(COUNTIFS('Staffing Coverage'!$A$5:$A$12,E511,'Staffing Coverage'!$B$5:$B$12,G511)=0,"",IF(COUNTIFS($A$5:$A$10004,A511,$E$5:$E$10004,E511,$G$5:$G$10004,G511)&lt;INDEX('Staffing Coverage'!$C$5:$C$12,MATCH(1,('Staffing Coverage'!$A$5:$A$12=E511)*('Staffing Coverage'!$B$5:$B$12=G511),0)),"SHORT","OK"))</f>
        <v>OK</v>
      </c>
    </row>
    <row r="512" customFormat="false" ht="15" hidden="false" customHeight="false" outlineLevel="0" collapsed="false">
      <c r="A512" s="15" t="n">
        <v>46321</v>
      </c>
      <c r="B512" s="16" t="str">
        <f aca="false">TEXT(A512,"ddd")</f>
        <v>Mon</v>
      </c>
      <c r="C512" s="10" t="s">
        <v>165</v>
      </c>
      <c r="D512" s="16" t="str">
        <f aca="false">IFERROR(INDEX('Staff Master'!$B$5:$B$24,MATCH(C512,'Staff Master'!$A$5:$A$24,0)),"")</f>
        <v>Priya Nair</v>
      </c>
      <c r="E512" s="16" t="str">
        <f aca="false">IFERROR(INDEX('Staff Master'!$D$5:$D$24,MATCH(C512,'Staff Master'!$A$5:$A$24,0)),"")</f>
        <v>Nursing</v>
      </c>
      <c r="F512" s="16" t="str">
        <f aca="false">IFERROR(INDEX('Staff Master'!$E$5:$E$24,MATCH(C512,'Staff Master'!$A$5:$A$24,0)),"")</f>
        <v>Nurse</v>
      </c>
      <c r="G512" s="10" t="s">
        <v>97</v>
      </c>
      <c r="H512" s="17" t="n">
        <f aca="false">IFERROR(INDEX('Shift Master'!$C$5:$C$16,MATCH(G512,'Shift Master'!$A$5:$A$16,0)),"")</f>
        <v>0</v>
      </c>
      <c r="I512" s="17" t="n">
        <f aca="false">IFERROR(INDEX('Shift Master'!$D$5:$D$16,MATCH(G512,'Shift Master'!$A$5:$A$16,0)),"")</f>
        <v>0</v>
      </c>
      <c r="J512" s="16" t="n">
        <f aca="false">IFERROR(INDEX('Shift Master'!$E$5:$E$16,MATCH(G512,'Shift Master'!$A$5:$A$16,0)),"")</f>
        <v>0</v>
      </c>
      <c r="K512" s="16" t="n">
        <f aca="false">IFERROR(INDEX('Shift Master'!$G$5:$G$16,MATCH(G512,'Shift Master'!$A$5:$A$16,0)),0)</f>
        <v>0</v>
      </c>
      <c r="L512" s="16" t="s">
        <v>228</v>
      </c>
      <c r="M512" s="16" t="s">
        <v>229</v>
      </c>
      <c r="N512" s="16" t="str">
        <f aca="false">IF(COUNTIFS('Staffing Coverage'!$A$5:$A$12,E512,'Staffing Coverage'!$B$5:$B$12,G512)=0,"",IF(COUNTIFS($A$5:$A$10004,A512,$E$5:$E$10004,E512,$G$5:$G$10004,G512)&lt;INDEX('Staffing Coverage'!$C$5:$C$12,MATCH(1,('Staffing Coverage'!$A$5:$A$12=E512)*('Staffing Coverage'!$B$5:$B$12=G512),0)),"SHORT","OK"))</f>
        <v/>
      </c>
    </row>
    <row r="513" customFormat="false" ht="15" hidden="false" customHeight="false" outlineLevel="0" collapsed="false">
      <c r="A513" s="15" t="n">
        <v>46321</v>
      </c>
      <c r="B513" s="16" t="str">
        <f aca="false">TEXT(A513,"ddd")</f>
        <v>Mon</v>
      </c>
      <c r="C513" s="10" t="s">
        <v>170</v>
      </c>
      <c r="D513" s="16" t="str">
        <f aca="false">IFERROR(INDEX('Staff Master'!$B$5:$B$24,MATCH(C513,'Staff Master'!$A$5:$A$24,0)),"")</f>
        <v>Maria Santos</v>
      </c>
      <c r="E513" s="16" t="str">
        <f aca="false">IFERROR(INDEX('Staff Master'!$D$5:$D$24,MATCH(C513,'Staff Master'!$A$5:$A$24,0)),"")</f>
        <v>Nursing</v>
      </c>
      <c r="F513" s="16" t="str">
        <f aca="false">IFERROR(INDEX('Staff Master'!$E$5:$E$24,MATCH(C513,'Staff Master'!$A$5:$A$24,0)),"")</f>
        <v>Nurse</v>
      </c>
      <c r="G513" s="10" t="s">
        <v>94</v>
      </c>
      <c r="H513" s="17" t="n">
        <f aca="false">IFERROR(INDEX('Shift Master'!$C$5:$C$16,MATCH(G513,'Shift Master'!$A$5:$A$16,0)),"")</f>
        <v>0.541666666666667</v>
      </c>
      <c r="I513" s="17" t="n">
        <f aca="false">IFERROR(INDEX('Shift Master'!$D$5:$D$16,MATCH(G513,'Shift Master'!$A$5:$A$16,0)),"")</f>
        <v>0.916666666666667</v>
      </c>
      <c r="J513" s="16" t="n">
        <f aca="false">IFERROR(INDEX('Shift Master'!$E$5:$E$16,MATCH(G513,'Shift Master'!$A$5:$A$16,0)),"")</f>
        <v>60</v>
      </c>
      <c r="K513" s="16" t="n">
        <f aca="false">IFERROR(INDEX('Shift Master'!$G$5:$G$16,MATCH(G513,'Shift Master'!$A$5:$A$16,0)),0)</f>
        <v>8</v>
      </c>
      <c r="L513" s="16" t="s">
        <v>228</v>
      </c>
      <c r="M513" s="16" t="s">
        <v>229</v>
      </c>
      <c r="N513" s="16" t="str">
        <f aca="false">IF(COUNTIFS('Staffing Coverage'!$A$5:$A$12,E513,'Staffing Coverage'!$B$5:$B$12,G513)=0,"",IF(COUNTIFS($A$5:$A$10004,A513,$E$5:$E$10004,E513,$G$5:$G$10004,G513)&lt;INDEX('Staffing Coverage'!$C$5:$C$12,MATCH(1,('Staffing Coverage'!$A$5:$A$12=E513)*('Staffing Coverage'!$B$5:$B$12=G513),0)),"SHORT","OK"))</f>
        <v/>
      </c>
    </row>
    <row r="514" customFormat="false" ht="15" hidden="false" customHeight="false" outlineLevel="0" collapsed="false">
      <c r="A514" s="15" t="n">
        <v>46321</v>
      </c>
      <c r="B514" s="16" t="str">
        <f aca="false">TEXT(A514,"ddd")</f>
        <v>Mon</v>
      </c>
      <c r="C514" s="10" t="s">
        <v>174</v>
      </c>
      <c r="D514" s="16" t="str">
        <f aca="false">IFERROR(INDEX('Staff Master'!$B$5:$B$24,MATCH(C514,'Staff Master'!$A$5:$A$24,0)),"")</f>
        <v>Aisha Al Shamsi</v>
      </c>
      <c r="E514" s="16" t="str">
        <f aca="false">IFERROR(INDEX('Staff Master'!$D$5:$D$24,MATCH(C514,'Staff Master'!$A$5:$A$24,0)),"")</f>
        <v>Reception</v>
      </c>
      <c r="F514" s="16" t="str">
        <f aca="false">IFERROR(INDEX('Staff Master'!$E$5:$E$24,MATCH(C514,'Staff Master'!$A$5:$A$24,0)),"")</f>
        <v>Receptionist</v>
      </c>
      <c r="G514" s="10" t="s">
        <v>97</v>
      </c>
      <c r="H514" s="17" t="n">
        <f aca="false">IFERROR(INDEX('Shift Master'!$C$5:$C$16,MATCH(G514,'Shift Master'!$A$5:$A$16,0)),"")</f>
        <v>0</v>
      </c>
      <c r="I514" s="17" t="n">
        <f aca="false">IFERROR(INDEX('Shift Master'!$D$5:$D$16,MATCH(G514,'Shift Master'!$A$5:$A$16,0)),"")</f>
        <v>0</v>
      </c>
      <c r="J514" s="16" t="n">
        <f aca="false">IFERROR(INDEX('Shift Master'!$E$5:$E$16,MATCH(G514,'Shift Master'!$A$5:$A$16,0)),"")</f>
        <v>0</v>
      </c>
      <c r="K514" s="16" t="n">
        <f aca="false">IFERROR(INDEX('Shift Master'!$G$5:$G$16,MATCH(G514,'Shift Master'!$A$5:$A$16,0)),0)</f>
        <v>0</v>
      </c>
      <c r="L514" s="16" t="s">
        <v>228</v>
      </c>
      <c r="M514" s="16" t="s">
        <v>229</v>
      </c>
      <c r="N514" s="16" t="str">
        <f aca="false">IF(COUNTIFS('Staffing Coverage'!$A$5:$A$12,E514,'Staffing Coverage'!$B$5:$B$12,G514)=0,"",IF(COUNTIFS($A$5:$A$10004,A514,$E$5:$E$10004,E514,$G$5:$G$10004,G514)&lt;INDEX('Staffing Coverage'!$C$5:$C$12,MATCH(1,('Staffing Coverage'!$A$5:$A$12=E514)*('Staffing Coverage'!$B$5:$B$12=G514),0)),"SHORT","OK"))</f>
        <v/>
      </c>
    </row>
    <row r="515" customFormat="false" ht="15" hidden="false" customHeight="false" outlineLevel="0" collapsed="false">
      <c r="A515" s="15" t="n">
        <v>46321</v>
      </c>
      <c r="B515" s="16" t="str">
        <f aca="false">TEXT(A515,"ddd")</f>
        <v>Mon</v>
      </c>
      <c r="C515" s="10" t="s">
        <v>179</v>
      </c>
      <c r="D515" s="16" t="str">
        <f aca="false">IFERROR(INDEX('Staff Master'!$B$5:$B$24,MATCH(C515,'Staff Master'!$A$5:$A$24,0)),"")</f>
        <v>John Dsouza</v>
      </c>
      <c r="E515" s="16" t="str">
        <f aca="false">IFERROR(INDEX('Staff Master'!$D$5:$D$24,MATCH(C515,'Staff Master'!$A$5:$A$24,0)),"")</f>
        <v>Reception</v>
      </c>
      <c r="F515" s="16" t="str">
        <f aca="false">IFERROR(INDEX('Staff Master'!$E$5:$E$24,MATCH(C515,'Staff Master'!$A$5:$A$24,0)),"")</f>
        <v>Receptionist</v>
      </c>
      <c r="G515" s="10" t="s">
        <v>90</v>
      </c>
      <c r="H515" s="17" t="n">
        <f aca="false">IFERROR(INDEX('Shift Master'!$C$5:$C$16,MATCH(G515,'Shift Master'!$A$5:$A$16,0)),"")</f>
        <v>0.375</v>
      </c>
      <c r="I515" s="17" t="n">
        <f aca="false">IFERROR(INDEX('Shift Master'!$D$5:$D$16,MATCH(G515,'Shift Master'!$A$5:$A$16,0)),"")</f>
        <v>0.75</v>
      </c>
      <c r="J515" s="16" t="n">
        <f aca="false">IFERROR(INDEX('Shift Master'!$E$5:$E$16,MATCH(G515,'Shift Master'!$A$5:$A$16,0)),"")</f>
        <v>60</v>
      </c>
      <c r="K515" s="16" t="n">
        <f aca="false">IFERROR(INDEX('Shift Master'!$G$5:$G$16,MATCH(G515,'Shift Master'!$A$5:$A$16,0)),0)</f>
        <v>8</v>
      </c>
      <c r="L515" s="16" t="s">
        <v>228</v>
      </c>
      <c r="M515" s="16" t="s">
        <v>229</v>
      </c>
      <c r="N515" s="16" t="str">
        <f aca="false">IF(COUNTIFS('Staffing Coverage'!$A$5:$A$12,E515,'Staffing Coverage'!$B$5:$B$12,G515)=0,"",IF(COUNTIFS($A$5:$A$10004,A515,$E$5:$E$10004,E515,$G$5:$G$10004,G515)&lt;INDEX('Staffing Coverage'!$C$5:$C$12,MATCH(1,('Staffing Coverage'!$A$5:$A$12=E515)*('Staffing Coverage'!$B$5:$B$12=G515),0)),"SHORT","OK"))</f>
        <v>SHORT</v>
      </c>
    </row>
    <row r="516" customFormat="false" ht="15" hidden="false" customHeight="false" outlineLevel="0" collapsed="false">
      <c r="A516" s="15" t="n">
        <v>46321</v>
      </c>
      <c r="B516" s="16" t="str">
        <f aca="false">TEXT(A516,"ddd")</f>
        <v>Mon</v>
      </c>
      <c r="C516" s="10" t="s">
        <v>184</v>
      </c>
      <c r="D516" s="16" t="str">
        <f aca="false">IFERROR(INDEX('Staff Master'!$B$5:$B$24,MATCH(C516,'Staff Master'!$A$5:$A$24,0)),"")</f>
        <v>Fatima Zahra</v>
      </c>
      <c r="E516" s="16" t="str">
        <f aca="false">IFERROR(INDEX('Staff Master'!$D$5:$D$24,MATCH(C516,'Staff Master'!$A$5:$A$24,0)),"")</f>
        <v>Reception</v>
      </c>
      <c r="F516" s="16" t="str">
        <f aca="false">IFERROR(INDEX('Staff Master'!$E$5:$E$24,MATCH(C516,'Staff Master'!$A$5:$A$24,0)),"")</f>
        <v>Receptionist</v>
      </c>
      <c r="G516" s="10" t="s">
        <v>94</v>
      </c>
      <c r="H516" s="17" t="n">
        <f aca="false">IFERROR(INDEX('Shift Master'!$C$5:$C$16,MATCH(G516,'Shift Master'!$A$5:$A$16,0)),"")</f>
        <v>0.541666666666667</v>
      </c>
      <c r="I516" s="17" t="n">
        <f aca="false">IFERROR(INDEX('Shift Master'!$D$5:$D$16,MATCH(G516,'Shift Master'!$A$5:$A$16,0)),"")</f>
        <v>0.916666666666667</v>
      </c>
      <c r="J516" s="16" t="n">
        <f aca="false">IFERROR(INDEX('Shift Master'!$E$5:$E$16,MATCH(G516,'Shift Master'!$A$5:$A$16,0)),"")</f>
        <v>60</v>
      </c>
      <c r="K516" s="16" t="n">
        <f aca="false">IFERROR(INDEX('Shift Master'!$G$5:$G$16,MATCH(G516,'Shift Master'!$A$5:$A$16,0)),0)</f>
        <v>8</v>
      </c>
      <c r="L516" s="16" t="s">
        <v>228</v>
      </c>
      <c r="M516" s="16" t="s">
        <v>229</v>
      </c>
      <c r="N516" s="16" t="str">
        <f aca="false">IF(COUNTIFS('Staffing Coverage'!$A$5:$A$12,E516,'Staffing Coverage'!$B$5:$B$12,G516)=0,"",IF(COUNTIFS($A$5:$A$10004,A516,$E$5:$E$10004,E516,$G$5:$G$10004,G516)&lt;INDEX('Staffing Coverage'!$C$5:$C$12,MATCH(1,('Staffing Coverage'!$A$5:$A$12=E516)*('Staffing Coverage'!$B$5:$B$12=G516),0)),"SHORT","OK"))</f>
        <v>OK</v>
      </c>
    </row>
    <row r="517" customFormat="false" ht="15" hidden="false" customHeight="false" outlineLevel="0" collapsed="false">
      <c r="A517" s="15" t="n">
        <v>46321</v>
      </c>
      <c r="B517" s="16" t="str">
        <f aca="false">TEXT(A517,"ddd")</f>
        <v>Mon</v>
      </c>
      <c r="C517" s="10" t="s">
        <v>188</v>
      </c>
      <c r="D517" s="16" t="str">
        <f aca="false">IFERROR(INDEX('Staff Master'!$B$5:$B$24,MATCH(C517,'Staff Master'!$A$5:$A$24,0)),"")</f>
        <v>Ana Reyes</v>
      </c>
      <c r="E517" s="16" t="str">
        <f aca="false">IFERROR(INDEX('Staff Master'!$D$5:$D$24,MATCH(C517,'Staff Master'!$A$5:$A$24,0)),"")</f>
        <v>Dental</v>
      </c>
      <c r="F517" s="16" t="str">
        <f aca="false">IFERROR(INDEX('Staff Master'!$E$5:$E$24,MATCH(C517,'Staff Master'!$A$5:$A$24,0)),"")</f>
        <v>Dental Assistant</v>
      </c>
      <c r="G517" s="10" t="s">
        <v>87</v>
      </c>
      <c r="H517" s="17" t="n">
        <f aca="false">IFERROR(INDEX('Shift Master'!$C$5:$C$16,MATCH(G517,'Shift Master'!$A$5:$A$16,0)),"")</f>
        <v>0.333333333333333</v>
      </c>
      <c r="I517" s="17" t="n">
        <f aca="false">IFERROR(INDEX('Shift Master'!$D$5:$D$16,MATCH(G517,'Shift Master'!$A$5:$A$16,0)),"")</f>
        <v>0.708333333333333</v>
      </c>
      <c r="J517" s="16" t="n">
        <f aca="false">IFERROR(INDEX('Shift Master'!$E$5:$E$16,MATCH(G517,'Shift Master'!$A$5:$A$16,0)),"")</f>
        <v>60</v>
      </c>
      <c r="K517" s="16" t="n">
        <f aca="false">IFERROR(INDEX('Shift Master'!$G$5:$G$16,MATCH(G517,'Shift Master'!$A$5:$A$16,0)),0)</f>
        <v>8</v>
      </c>
      <c r="L517" s="16" t="s">
        <v>228</v>
      </c>
      <c r="M517" s="16" t="s">
        <v>229</v>
      </c>
      <c r="N517" s="16" t="str">
        <f aca="false">IF(COUNTIFS('Staffing Coverage'!$A$5:$A$12,E517,'Staffing Coverage'!$B$5:$B$12,G517)=0,"",IF(COUNTIFS($A$5:$A$10004,A517,$E$5:$E$10004,E517,$G$5:$G$10004,G517)&lt;INDEX('Staffing Coverage'!$C$5:$C$12,MATCH(1,('Staffing Coverage'!$A$5:$A$12=E517)*('Staffing Coverage'!$B$5:$B$12=G517),0)),"SHORT","OK"))</f>
        <v>OK</v>
      </c>
    </row>
    <row r="518" customFormat="false" ht="15" hidden="false" customHeight="false" outlineLevel="0" collapsed="false">
      <c r="A518" s="15" t="n">
        <v>46321</v>
      </c>
      <c r="B518" s="16" t="str">
        <f aca="false">TEXT(A518,"ddd")</f>
        <v>Mon</v>
      </c>
      <c r="C518" s="10" t="s">
        <v>192</v>
      </c>
      <c r="D518" s="16" t="str">
        <f aca="false">IFERROR(INDEX('Staff Master'!$B$5:$B$24,MATCH(C518,'Staff Master'!$A$5:$A$24,0)),"")</f>
        <v>Noor Hassan</v>
      </c>
      <c r="E518" s="16" t="str">
        <f aca="false">IFERROR(INDEX('Staff Master'!$D$5:$D$24,MATCH(C518,'Staff Master'!$A$5:$A$24,0)),"")</f>
        <v>Dental</v>
      </c>
      <c r="F518" s="16" t="str">
        <f aca="false">IFERROR(INDEX('Staff Master'!$E$5:$E$24,MATCH(C518,'Staff Master'!$A$5:$A$24,0)),"")</f>
        <v>Dental Assistant</v>
      </c>
      <c r="G518" s="10" t="s">
        <v>90</v>
      </c>
      <c r="H518" s="17" t="n">
        <f aca="false">IFERROR(INDEX('Shift Master'!$C$5:$C$16,MATCH(G518,'Shift Master'!$A$5:$A$16,0)),"")</f>
        <v>0.375</v>
      </c>
      <c r="I518" s="17" t="n">
        <f aca="false">IFERROR(INDEX('Shift Master'!$D$5:$D$16,MATCH(G518,'Shift Master'!$A$5:$A$16,0)),"")</f>
        <v>0.75</v>
      </c>
      <c r="J518" s="16" t="n">
        <f aca="false">IFERROR(INDEX('Shift Master'!$E$5:$E$16,MATCH(G518,'Shift Master'!$A$5:$A$16,0)),"")</f>
        <v>60</v>
      </c>
      <c r="K518" s="16" t="n">
        <f aca="false">IFERROR(INDEX('Shift Master'!$G$5:$G$16,MATCH(G518,'Shift Master'!$A$5:$A$16,0)),0)</f>
        <v>8</v>
      </c>
      <c r="L518" s="16" t="s">
        <v>228</v>
      </c>
      <c r="M518" s="16" t="s">
        <v>229</v>
      </c>
      <c r="N518" s="16" t="str">
        <f aca="false">IF(COUNTIFS('Staffing Coverage'!$A$5:$A$12,E518,'Staffing Coverage'!$B$5:$B$12,G518)=0,"",IF(COUNTIFS($A$5:$A$10004,A518,$E$5:$E$10004,E518,$G$5:$G$10004,G518)&lt;INDEX('Staffing Coverage'!$C$5:$C$12,MATCH(1,('Staffing Coverage'!$A$5:$A$12=E518)*('Staffing Coverage'!$B$5:$B$12=G518),0)),"SHORT","OK"))</f>
        <v/>
      </c>
    </row>
    <row r="519" customFormat="false" ht="15" hidden="false" customHeight="false" outlineLevel="0" collapsed="false">
      <c r="A519" s="15" t="n">
        <v>46321</v>
      </c>
      <c r="B519" s="16" t="str">
        <f aca="false">TEXT(A519,"ddd")</f>
        <v>Mon</v>
      </c>
      <c r="C519" s="10" t="s">
        <v>196</v>
      </c>
      <c r="D519" s="16" t="str">
        <f aca="false">IFERROR(INDEX('Staff Master'!$B$5:$B$24,MATCH(C519,'Staff Master'!$A$5:$A$24,0)),"")</f>
        <v>Karan Mehta</v>
      </c>
      <c r="E519" s="16" t="str">
        <f aca="false">IFERROR(INDEX('Staff Master'!$D$5:$D$24,MATCH(C519,'Staff Master'!$A$5:$A$24,0)),"")</f>
        <v>Laser</v>
      </c>
      <c r="F519" s="16" t="str">
        <f aca="false">IFERROR(INDEX('Staff Master'!$E$5:$E$24,MATCH(C519,'Staff Master'!$A$5:$A$24,0)),"")</f>
        <v>Laser Technician</v>
      </c>
      <c r="G519" s="10" t="s">
        <v>90</v>
      </c>
      <c r="H519" s="17" t="n">
        <f aca="false">IFERROR(INDEX('Shift Master'!$C$5:$C$16,MATCH(G519,'Shift Master'!$A$5:$A$16,0)),"")</f>
        <v>0.375</v>
      </c>
      <c r="I519" s="17" t="n">
        <f aca="false">IFERROR(INDEX('Shift Master'!$D$5:$D$16,MATCH(G519,'Shift Master'!$A$5:$A$16,0)),"")</f>
        <v>0.75</v>
      </c>
      <c r="J519" s="16" t="n">
        <f aca="false">IFERROR(INDEX('Shift Master'!$E$5:$E$16,MATCH(G519,'Shift Master'!$A$5:$A$16,0)),"")</f>
        <v>60</v>
      </c>
      <c r="K519" s="16" t="n">
        <f aca="false">IFERROR(INDEX('Shift Master'!$G$5:$G$16,MATCH(G519,'Shift Master'!$A$5:$A$16,0)),0)</f>
        <v>8</v>
      </c>
      <c r="L519" s="16" t="s">
        <v>228</v>
      </c>
      <c r="M519" s="16" t="s">
        <v>229</v>
      </c>
      <c r="N519" s="16" t="str">
        <f aca="false">IF(COUNTIFS('Staffing Coverage'!$A$5:$A$12,E519,'Staffing Coverage'!$B$5:$B$12,G519)=0,"",IF(COUNTIFS($A$5:$A$10004,A519,$E$5:$E$10004,E519,$G$5:$G$10004,G519)&lt;INDEX('Staffing Coverage'!$C$5:$C$12,MATCH(1,('Staffing Coverage'!$A$5:$A$12=E519)*('Staffing Coverage'!$B$5:$B$12=G519),0)),"SHORT","OK"))</f>
        <v/>
      </c>
    </row>
    <row r="520" customFormat="false" ht="15" hidden="false" customHeight="false" outlineLevel="0" collapsed="false">
      <c r="A520" s="15" t="n">
        <v>46321</v>
      </c>
      <c r="B520" s="16" t="str">
        <f aca="false">TEXT(A520,"ddd")</f>
        <v>Mon</v>
      </c>
      <c r="C520" s="10" t="s">
        <v>200</v>
      </c>
      <c r="D520" s="16" t="str">
        <f aca="false">IFERROR(INDEX('Staff Master'!$B$5:$B$24,MATCH(C520,'Staff Master'!$A$5:$A$24,0)),"")</f>
        <v>Imran Sheikh</v>
      </c>
      <c r="E520" s="16" t="str">
        <f aca="false">IFERROR(INDEX('Staff Master'!$D$5:$D$24,MATCH(C520,'Staff Master'!$A$5:$A$24,0)),"")</f>
        <v>Dental Laboratory</v>
      </c>
      <c r="F520" s="16" t="str">
        <f aca="false">IFERROR(INDEX('Staff Master'!$E$5:$E$24,MATCH(C520,'Staff Master'!$A$5:$A$24,0)),"")</f>
        <v>Dental Technician</v>
      </c>
      <c r="G520" s="10" t="s">
        <v>87</v>
      </c>
      <c r="H520" s="17" t="n">
        <f aca="false">IFERROR(INDEX('Shift Master'!$C$5:$C$16,MATCH(G520,'Shift Master'!$A$5:$A$16,0)),"")</f>
        <v>0.333333333333333</v>
      </c>
      <c r="I520" s="17" t="n">
        <f aca="false">IFERROR(INDEX('Shift Master'!$D$5:$D$16,MATCH(G520,'Shift Master'!$A$5:$A$16,0)),"")</f>
        <v>0.708333333333333</v>
      </c>
      <c r="J520" s="16" t="n">
        <f aca="false">IFERROR(INDEX('Shift Master'!$E$5:$E$16,MATCH(G520,'Shift Master'!$A$5:$A$16,0)),"")</f>
        <v>60</v>
      </c>
      <c r="K520" s="16" t="n">
        <f aca="false">IFERROR(INDEX('Shift Master'!$G$5:$G$16,MATCH(G520,'Shift Master'!$A$5:$A$16,0)),0)</f>
        <v>8</v>
      </c>
      <c r="L520" s="16" t="s">
        <v>228</v>
      </c>
      <c r="M520" s="16" t="s">
        <v>229</v>
      </c>
      <c r="N520" s="16" t="str">
        <f aca="false">IF(COUNTIFS('Staffing Coverage'!$A$5:$A$12,E520,'Staffing Coverage'!$B$5:$B$12,G520)=0,"",IF(COUNTIFS($A$5:$A$10004,A520,$E$5:$E$10004,E520,$G$5:$G$10004,G520)&lt;INDEX('Staffing Coverage'!$C$5:$C$12,MATCH(1,('Staffing Coverage'!$A$5:$A$12=E520)*('Staffing Coverage'!$B$5:$B$12=G520),0)),"SHORT","OK"))</f>
        <v/>
      </c>
    </row>
    <row r="521" customFormat="false" ht="15" hidden="false" customHeight="false" outlineLevel="0" collapsed="false">
      <c r="A521" s="15" t="n">
        <v>46321</v>
      </c>
      <c r="B521" s="16" t="str">
        <f aca="false">TEXT(A521,"ddd")</f>
        <v>Mon</v>
      </c>
      <c r="C521" s="10" t="s">
        <v>204</v>
      </c>
      <c r="D521" s="16" t="str">
        <f aca="false">IFERROR(INDEX('Staff Master'!$B$5:$B$24,MATCH(C521,'Staff Master'!$A$5:$A$24,0)),"")</f>
        <v>Josephine Cruz</v>
      </c>
      <c r="E521" s="16" t="str">
        <f aca="false">IFERROR(INDEX('Staff Master'!$D$5:$D$24,MATCH(C521,'Staff Master'!$A$5:$A$24,0)),"")</f>
        <v>CSSD</v>
      </c>
      <c r="F521" s="16" t="str">
        <f aca="false">IFERROR(INDEX('Staff Master'!$E$5:$E$24,MATCH(C521,'Staff Master'!$A$5:$A$24,0)),"")</f>
        <v>CSSD Technician</v>
      </c>
      <c r="G521" s="10" t="s">
        <v>87</v>
      </c>
      <c r="H521" s="17" t="n">
        <f aca="false">IFERROR(INDEX('Shift Master'!$C$5:$C$16,MATCH(G521,'Shift Master'!$A$5:$A$16,0)),"")</f>
        <v>0.333333333333333</v>
      </c>
      <c r="I521" s="17" t="n">
        <f aca="false">IFERROR(INDEX('Shift Master'!$D$5:$D$16,MATCH(G521,'Shift Master'!$A$5:$A$16,0)),"")</f>
        <v>0.708333333333333</v>
      </c>
      <c r="J521" s="16" t="n">
        <f aca="false">IFERROR(INDEX('Shift Master'!$E$5:$E$16,MATCH(G521,'Shift Master'!$A$5:$A$16,0)),"")</f>
        <v>60</v>
      </c>
      <c r="K521" s="16" t="n">
        <f aca="false">IFERROR(INDEX('Shift Master'!$G$5:$G$16,MATCH(G521,'Shift Master'!$A$5:$A$16,0)),0)</f>
        <v>8</v>
      </c>
      <c r="L521" s="16" t="s">
        <v>228</v>
      </c>
      <c r="M521" s="16" t="s">
        <v>229</v>
      </c>
      <c r="N521" s="16" t="str">
        <f aca="false">IF(COUNTIFS('Staffing Coverage'!$A$5:$A$12,E521,'Staffing Coverage'!$B$5:$B$12,G521)=0,"",IF(COUNTIFS($A$5:$A$10004,A521,$E$5:$E$10004,E521,$G$5:$G$10004,G521)&lt;INDEX('Staffing Coverage'!$C$5:$C$12,MATCH(1,('Staffing Coverage'!$A$5:$A$12=E521)*('Staffing Coverage'!$B$5:$B$12=G521),0)),"SHORT","OK"))</f>
        <v>OK</v>
      </c>
    </row>
    <row r="522" customFormat="false" ht="15" hidden="false" customHeight="false" outlineLevel="0" collapsed="false">
      <c r="A522" s="15" t="n">
        <v>46321</v>
      </c>
      <c r="B522" s="16" t="str">
        <f aca="false">TEXT(A522,"ddd")</f>
        <v>Mon</v>
      </c>
      <c r="C522" s="10" t="s">
        <v>208</v>
      </c>
      <c r="D522" s="16" t="str">
        <f aca="false">IFERROR(INDEX('Staff Master'!$B$5:$B$24,MATCH(C522,'Staff Master'!$A$5:$A$24,0)),"")</f>
        <v>Rosalyn Tan</v>
      </c>
      <c r="E522" s="16" t="str">
        <f aca="false">IFERROR(INDEX('Staff Master'!$D$5:$D$24,MATCH(C522,'Staff Master'!$A$5:$A$24,0)),"")</f>
        <v>Cleaning</v>
      </c>
      <c r="F522" s="16" t="str">
        <f aca="false">IFERROR(INDEX('Staff Master'!$E$5:$E$24,MATCH(C522,'Staff Master'!$A$5:$A$24,0)),"")</f>
        <v>Cleaner</v>
      </c>
      <c r="G522" s="10" t="s">
        <v>87</v>
      </c>
      <c r="H522" s="17" t="n">
        <f aca="false">IFERROR(INDEX('Shift Master'!$C$5:$C$16,MATCH(G522,'Shift Master'!$A$5:$A$16,0)),"")</f>
        <v>0.333333333333333</v>
      </c>
      <c r="I522" s="17" t="n">
        <f aca="false">IFERROR(INDEX('Shift Master'!$D$5:$D$16,MATCH(G522,'Shift Master'!$A$5:$A$16,0)),"")</f>
        <v>0.708333333333333</v>
      </c>
      <c r="J522" s="16" t="n">
        <f aca="false">IFERROR(INDEX('Shift Master'!$E$5:$E$16,MATCH(G522,'Shift Master'!$A$5:$A$16,0)),"")</f>
        <v>60</v>
      </c>
      <c r="K522" s="16" t="n">
        <f aca="false">IFERROR(INDEX('Shift Master'!$G$5:$G$16,MATCH(G522,'Shift Master'!$A$5:$A$16,0)),0)</f>
        <v>8</v>
      </c>
      <c r="L522" s="16" t="s">
        <v>228</v>
      </c>
      <c r="M522" s="16" t="s">
        <v>229</v>
      </c>
      <c r="N522" s="16" t="str">
        <f aca="false">IF(COUNTIFS('Staffing Coverage'!$A$5:$A$12,E522,'Staffing Coverage'!$B$5:$B$12,G522)=0,"",IF(COUNTIFS($A$5:$A$10004,A522,$E$5:$E$10004,E522,$G$5:$G$10004,G522)&lt;INDEX('Staffing Coverage'!$C$5:$C$12,MATCH(1,('Staffing Coverage'!$A$5:$A$12=E522)*('Staffing Coverage'!$B$5:$B$12=G522),0)),"SHORT","OK"))</f>
        <v>OK</v>
      </c>
    </row>
    <row r="523" customFormat="false" ht="15" hidden="false" customHeight="false" outlineLevel="0" collapsed="false">
      <c r="A523" s="15" t="n">
        <v>46321</v>
      </c>
      <c r="B523" s="16" t="str">
        <f aca="false">TEXT(A523,"ddd")</f>
        <v>Mon</v>
      </c>
      <c r="C523" s="10" t="s">
        <v>212</v>
      </c>
      <c r="D523" s="16" t="str">
        <f aca="false">IFERROR(INDEX('Staff Master'!$B$5:$B$24,MATCH(C523,'Staff Master'!$A$5:$A$24,0)),"")</f>
        <v>Hassan Baig</v>
      </c>
      <c r="E523" s="16" t="str">
        <f aca="false">IFERROR(INDEX('Staff Master'!$D$5:$D$24,MATCH(C523,'Staff Master'!$A$5:$A$24,0)),"")</f>
        <v>Facilities</v>
      </c>
      <c r="F523" s="16" t="str">
        <f aca="false">IFERROR(INDEX('Staff Master'!$E$5:$E$24,MATCH(C523,'Staff Master'!$A$5:$A$24,0)),"")</f>
        <v>Facility Manager</v>
      </c>
      <c r="G523" s="10" t="s">
        <v>90</v>
      </c>
      <c r="H523" s="17" t="n">
        <f aca="false">IFERROR(INDEX('Shift Master'!$C$5:$C$16,MATCH(G523,'Shift Master'!$A$5:$A$16,0)),"")</f>
        <v>0.375</v>
      </c>
      <c r="I523" s="17" t="n">
        <f aca="false">IFERROR(INDEX('Shift Master'!$D$5:$D$16,MATCH(G523,'Shift Master'!$A$5:$A$16,0)),"")</f>
        <v>0.75</v>
      </c>
      <c r="J523" s="16" t="n">
        <f aca="false">IFERROR(INDEX('Shift Master'!$E$5:$E$16,MATCH(G523,'Shift Master'!$A$5:$A$16,0)),"")</f>
        <v>60</v>
      </c>
      <c r="K523" s="16" t="n">
        <f aca="false">IFERROR(INDEX('Shift Master'!$G$5:$G$16,MATCH(G523,'Shift Master'!$A$5:$A$16,0)),0)</f>
        <v>8</v>
      </c>
      <c r="L523" s="16" t="s">
        <v>228</v>
      </c>
      <c r="M523" s="16" t="s">
        <v>229</v>
      </c>
      <c r="N523" s="16" t="str">
        <f aca="false">IF(COUNTIFS('Staffing Coverage'!$A$5:$A$12,E523,'Staffing Coverage'!$B$5:$B$12,G523)=0,"",IF(COUNTIFS($A$5:$A$10004,A523,$E$5:$E$10004,E523,$G$5:$G$10004,G523)&lt;INDEX('Staffing Coverage'!$C$5:$C$12,MATCH(1,('Staffing Coverage'!$A$5:$A$12=E523)*('Staffing Coverage'!$B$5:$B$12=G523),0)),"SHORT","OK"))</f>
        <v/>
      </c>
    </row>
    <row r="524" customFormat="false" ht="15" hidden="false" customHeight="false" outlineLevel="0" collapsed="false">
      <c r="A524" s="15" t="n">
        <v>46321</v>
      </c>
      <c r="B524" s="16" t="str">
        <f aca="false">TEXT(A524,"ddd")</f>
        <v>Mon</v>
      </c>
      <c r="C524" s="10" t="s">
        <v>178</v>
      </c>
      <c r="D524" s="16" t="str">
        <f aca="false">IFERROR(INDEX('Staff Master'!$B$5:$B$24,MATCH(C524,'Staff Master'!$A$5:$A$24,0)),"")</f>
        <v>Meera Pillai</v>
      </c>
      <c r="E524" s="16" t="str">
        <f aca="false">IFERROR(INDEX('Staff Master'!$D$5:$D$24,MATCH(C524,'Staff Master'!$A$5:$A$24,0)),"")</f>
        <v>HR</v>
      </c>
      <c r="F524" s="16" t="str">
        <f aca="false">IFERROR(INDEX('Staff Master'!$E$5:$E$24,MATCH(C524,'Staff Master'!$A$5:$A$24,0)),"")</f>
        <v>HR Executive</v>
      </c>
      <c r="G524" s="10" t="s">
        <v>90</v>
      </c>
      <c r="H524" s="17" t="n">
        <f aca="false">IFERROR(INDEX('Shift Master'!$C$5:$C$16,MATCH(G524,'Shift Master'!$A$5:$A$16,0)),"")</f>
        <v>0.375</v>
      </c>
      <c r="I524" s="17" t="n">
        <f aca="false">IFERROR(INDEX('Shift Master'!$D$5:$D$16,MATCH(G524,'Shift Master'!$A$5:$A$16,0)),"")</f>
        <v>0.75</v>
      </c>
      <c r="J524" s="16" t="n">
        <f aca="false">IFERROR(INDEX('Shift Master'!$E$5:$E$16,MATCH(G524,'Shift Master'!$A$5:$A$16,0)),"")</f>
        <v>60</v>
      </c>
      <c r="K524" s="16" t="n">
        <f aca="false">IFERROR(INDEX('Shift Master'!$G$5:$G$16,MATCH(G524,'Shift Master'!$A$5:$A$16,0)),0)</f>
        <v>8</v>
      </c>
      <c r="L524" s="16" t="s">
        <v>228</v>
      </c>
      <c r="M524" s="16" t="s">
        <v>229</v>
      </c>
      <c r="N524" s="16" t="str">
        <f aca="false">IF(COUNTIFS('Staffing Coverage'!$A$5:$A$12,E524,'Staffing Coverage'!$B$5:$B$12,G524)=0,"",IF(COUNTIFS($A$5:$A$10004,A524,$E$5:$E$10004,E524,$G$5:$G$10004,G524)&lt;INDEX('Staffing Coverage'!$C$5:$C$12,MATCH(1,('Staffing Coverage'!$A$5:$A$12=E524)*('Staffing Coverage'!$B$5:$B$12=G524),0)),"SHORT","OK"))</f>
        <v/>
      </c>
    </row>
    <row r="525" customFormat="false" ht="15" hidden="false" customHeight="false" outlineLevel="0" collapsed="false">
      <c r="A525" s="15" t="n">
        <v>46322</v>
      </c>
      <c r="B525" s="16" t="str">
        <f aca="false">TEXT(A525,"ddd")</f>
        <v>Tue</v>
      </c>
      <c r="C525" s="10" t="s">
        <v>128</v>
      </c>
      <c r="D525" s="16" t="str">
        <f aca="false">IFERROR(INDEX('Staff Master'!$B$5:$B$24,MATCH(C525,'Staff Master'!$A$5:$A$24,0)),"")</f>
        <v>Rashid Al Nuaimi</v>
      </c>
      <c r="E525" s="16" t="str">
        <f aca="false">IFERROR(INDEX('Staff Master'!$D$5:$D$24,MATCH(C525,'Staff Master'!$A$5:$A$24,0)),"")</f>
        <v>Management</v>
      </c>
      <c r="F525" s="16" t="str">
        <f aca="false">IFERROR(INDEX('Staff Master'!$E$5:$E$24,MATCH(C525,'Staff Master'!$A$5:$A$24,0)),"")</f>
        <v>CEO</v>
      </c>
      <c r="G525" s="10" t="s">
        <v>90</v>
      </c>
      <c r="H525" s="17" t="n">
        <f aca="false">IFERROR(INDEX('Shift Master'!$C$5:$C$16,MATCH(G525,'Shift Master'!$A$5:$A$16,0)),"")</f>
        <v>0.375</v>
      </c>
      <c r="I525" s="17" t="n">
        <f aca="false">IFERROR(INDEX('Shift Master'!$D$5:$D$16,MATCH(G525,'Shift Master'!$A$5:$A$16,0)),"")</f>
        <v>0.75</v>
      </c>
      <c r="J525" s="16" t="n">
        <f aca="false">IFERROR(INDEX('Shift Master'!$E$5:$E$16,MATCH(G525,'Shift Master'!$A$5:$A$16,0)),"")</f>
        <v>60</v>
      </c>
      <c r="K525" s="16" t="n">
        <f aca="false">IFERROR(INDEX('Shift Master'!$G$5:$G$16,MATCH(G525,'Shift Master'!$A$5:$A$16,0)),0)</f>
        <v>8</v>
      </c>
      <c r="L525" s="16" t="s">
        <v>228</v>
      </c>
      <c r="M525" s="16" t="s">
        <v>229</v>
      </c>
      <c r="N525" s="16" t="str">
        <f aca="false">IF(COUNTIFS('Staffing Coverage'!$A$5:$A$12,E525,'Staffing Coverage'!$B$5:$B$12,G525)=0,"",IF(COUNTIFS($A$5:$A$10004,A525,$E$5:$E$10004,E525,$G$5:$G$10004,G525)&lt;INDEX('Staffing Coverage'!$C$5:$C$12,MATCH(1,('Staffing Coverage'!$A$5:$A$12=E525)*('Staffing Coverage'!$B$5:$B$12=G525),0)),"SHORT","OK"))</f>
        <v/>
      </c>
    </row>
    <row r="526" customFormat="false" ht="15" hidden="false" customHeight="false" outlineLevel="0" collapsed="false">
      <c r="A526" s="15" t="n">
        <v>46322</v>
      </c>
      <c r="B526" s="16" t="str">
        <f aca="false">TEXT(A526,"ddd")</f>
        <v>Tue</v>
      </c>
      <c r="C526" s="10" t="s">
        <v>137</v>
      </c>
      <c r="D526" s="16" t="str">
        <f aca="false">IFERROR(INDEX('Staff Master'!$B$5:$B$24,MATCH(C526,'Staff Master'!$A$5:$A$24,0)),"")</f>
        <v>Dr. Sara Haddad</v>
      </c>
      <c r="E526" s="16" t="str">
        <f aca="false">IFERROR(INDEX('Staff Master'!$D$5:$D$24,MATCH(C526,'Staff Master'!$A$5:$A$24,0)),"")</f>
        <v>General Practice</v>
      </c>
      <c r="F526" s="16" t="str">
        <f aca="false">IFERROR(INDEX('Staff Master'!$E$5:$E$24,MATCH(C526,'Staff Master'!$A$5:$A$24,0)),"")</f>
        <v>Medical Director</v>
      </c>
      <c r="G526" s="10" t="s">
        <v>96</v>
      </c>
      <c r="H526" s="17" t="n">
        <f aca="false">IFERROR(INDEX('Shift Master'!$C$5:$C$16,MATCH(G526,'Shift Master'!$A$5:$A$16,0)),"")</f>
        <v>0.375</v>
      </c>
      <c r="I526" s="17" t="n">
        <f aca="false">IFERROR(INDEX('Shift Master'!$D$5:$D$16,MATCH(G526,'Shift Master'!$A$5:$A$16,0)),"")</f>
        <v>0.708333333333333</v>
      </c>
      <c r="J526" s="16" t="n">
        <f aca="false">IFERROR(INDEX('Shift Master'!$E$5:$E$16,MATCH(G526,'Shift Master'!$A$5:$A$16,0)),"")</f>
        <v>60</v>
      </c>
      <c r="K526" s="16" t="n">
        <f aca="false">IFERROR(INDEX('Shift Master'!$G$5:$G$16,MATCH(G526,'Shift Master'!$A$5:$A$16,0)),0)</f>
        <v>7</v>
      </c>
      <c r="L526" s="16" t="s">
        <v>228</v>
      </c>
      <c r="M526" s="16" t="s">
        <v>229</v>
      </c>
      <c r="N526" s="16" t="str">
        <f aca="false">IF(COUNTIFS('Staffing Coverage'!$A$5:$A$12,E526,'Staffing Coverage'!$B$5:$B$12,G526)=0,"",IF(COUNTIFS($A$5:$A$10004,A526,$E$5:$E$10004,E526,$G$5:$G$10004,G526)&lt;INDEX('Staffing Coverage'!$C$5:$C$12,MATCH(1,('Staffing Coverage'!$A$5:$A$12=E526)*('Staffing Coverage'!$B$5:$B$12=G526),0)),"SHORT","OK"))</f>
        <v/>
      </c>
    </row>
    <row r="527" customFormat="false" ht="15" hidden="false" customHeight="false" outlineLevel="0" collapsed="false">
      <c r="A527" s="15" t="n">
        <v>46322</v>
      </c>
      <c r="B527" s="16" t="str">
        <f aca="false">TEXT(A527,"ddd")</f>
        <v>Tue</v>
      </c>
      <c r="C527" s="10" t="s">
        <v>142</v>
      </c>
      <c r="D527" s="16" t="str">
        <f aca="false">IFERROR(INDEX('Staff Master'!$B$5:$B$24,MATCH(C527,'Staff Master'!$A$5:$A$24,0)),"")</f>
        <v>Dr. Omar Khalil</v>
      </c>
      <c r="E527" s="16" t="str">
        <f aca="false">IFERROR(INDEX('Staff Master'!$D$5:$D$24,MATCH(C527,'Staff Master'!$A$5:$A$24,0)),"")</f>
        <v>General Practice</v>
      </c>
      <c r="F527" s="16" t="str">
        <f aca="false">IFERROR(INDEX('Staff Master'!$E$5:$E$24,MATCH(C527,'Staff Master'!$A$5:$A$24,0)),"")</f>
        <v>Doctor</v>
      </c>
      <c r="G527" s="10" t="s">
        <v>96</v>
      </c>
      <c r="H527" s="17" t="n">
        <f aca="false">IFERROR(INDEX('Shift Master'!$C$5:$C$16,MATCH(G527,'Shift Master'!$A$5:$A$16,0)),"")</f>
        <v>0.375</v>
      </c>
      <c r="I527" s="17" t="n">
        <f aca="false">IFERROR(INDEX('Shift Master'!$D$5:$D$16,MATCH(G527,'Shift Master'!$A$5:$A$16,0)),"")</f>
        <v>0.708333333333333</v>
      </c>
      <c r="J527" s="16" t="n">
        <f aca="false">IFERROR(INDEX('Shift Master'!$E$5:$E$16,MATCH(G527,'Shift Master'!$A$5:$A$16,0)),"")</f>
        <v>60</v>
      </c>
      <c r="K527" s="16" t="n">
        <f aca="false">IFERROR(INDEX('Shift Master'!$G$5:$G$16,MATCH(G527,'Shift Master'!$A$5:$A$16,0)),0)</f>
        <v>7</v>
      </c>
      <c r="L527" s="16" t="s">
        <v>228</v>
      </c>
      <c r="M527" s="16" t="s">
        <v>229</v>
      </c>
      <c r="N527" s="16" t="str">
        <f aca="false">IF(COUNTIFS('Staffing Coverage'!$A$5:$A$12,E527,'Staffing Coverage'!$B$5:$B$12,G527)=0,"",IF(COUNTIFS($A$5:$A$10004,A527,$E$5:$E$10004,E527,$G$5:$G$10004,G527)&lt;INDEX('Staffing Coverage'!$C$5:$C$12,MATCH(1,('Staffing Coverage'!$A$5:$A$12=E527)*('Staffing Coverage'!$B$5:$B$12=G527),0)),"SHORT","OK"))</f>
        <v/>
      </c>
    </row>
    <row r="528" customFormat="false" ht="15" hidden="false" customHeight="false" outlineLevel="0" collapsed="false">
      <c r="A528" s="15" t="n">
        <v>46322</v>
      </c>
      <c r="B528" s="16" t="str">
        <f aca="false">TEXT(A528,"ddd")</f>
        <v>Tue</v>
      </c>
      <c r="C528" s="10" t="s">
        <v>146</v>
      </c>
      <c r="D528" s="16" t="str">
        <f aca="false">IFERROR(INDEX('Staff Master'!$B$5:$B$24,MATCH(C528,'Staff Master'!$A$5:$A$24,0)),"")</f>
        <v>Dr. Lina Abboud</v>
      </c>
      <c r="E528" s="16" t="str">
        <f aca="false">IFERROR(INDEX('Staff Master'!$D$5:$D$24,MATCH(C528,'Staff Master'!$A$5:$A$24,0)),"")</f>
        <v>Dental</v>
      </c>
      <c r="F528" s="16" t="str">
        <f aca="false">IFERROR(INDEX('Staff Master'!$E$5:$E$24,MATCH(C528,'Staff Master'!$A$5:$A$24,0)),"")</f>
        <v>Dentist</v>
      </c>
      <c r="G528" s="10" t="s">
        <v>96</v>
      </c>
      <c r="H528" s="17" t="n">
        <f aca="false">IFERROR(INDEX('Shift Master'!$C$5:$C$16,MATCH(G528,'Shift Master'!$A$5:$A$16,0)),"")</f>
        <v>0.375</v>
      </c>
      <c r="I528" s="17" t="n">
        <f aca="false">IFERROR(INDEX('Shift Master'!$D$5:$D$16,MATCH(G528,'Shift Master'!$A$5:$A$16,0)),"")</f>
        <v>0.708333333333333</v>
      </c>
      <c r="J528" s="16" t="n">
        <f aca="false">IFERROR(INDEX('Shift Master'!$E$5:$E$16,MATCH(G528,'Shift Master'!$A$5:$A$16,0)),"")</f>
        <v>60</v>
      </c>
      <c r="K528" s="16" t="n">
        <f aca="false">IFERROR(INDEX('Shift Master'!$G$5:$G$16,MATCH(G528,'Shift Master'!$A$5:$A$16,0)),0)</f>
        <v>7</v>
      </c>
      <c r="L528" s="16" t="s">
        <v>228</v>
      </c>
      <c r="M528" s="16" t="s">
        <v>229</v>
      </c>
      <c r="N528" s="16" t="str">
        <f aca="false">IF(COUNTIFS('Staffing Coverage'!$A$5:$A$12,E528,'Staffing Coverage'!$B$5:$B$12,G528)=0,"",IF(COUNTIFS($A$5:$A$10004,A528,$E$5:$E$10004,E528,$G$5:$G$10004,G528)&lt;INDEX('Staffing Coverage'!$C$5:$C$12,MATCH(1,('Staffing Coverage'!$A$5:$A$12=E528)*('Staffing Coverage'!$B$5:$B$12=G528),0)),"SHORT","OK"))</f>
        <v/>
      </c>
    </row>
    <row r="529" customFormat="false" ht="15" hidden="false" customHeight="false" outlineLevel="0" collapsed="false">
      <c r="A529" s="15" t="n">
        <v>46322</v>
      </c>
      <c r="B529" s="16" t="str">
        <f aca="false">TEXT(A529,"ddd")</f>
        <v>Tue</v>
      </c>
      <c r="C529" s="10" t="s">
        <v>150</v>
      </c>
      <c r="D529" s="16" t="str">
        <f aca="false">IFERROR(INDEX('Staff Master'!$B$5:$B$24,MATCH(C529,'Staff Master'!$A$5:$A$24,0)),"")</f>
        <v>Dr. Farah Idris</v>
      </c>
      <c r="E529" s="16" t="str">
        <f aca="false">IFERROR(INDEX('Staff Master'!$D$5:$D$24,MATCH(C529,'Staff Master'!$A$5:$A$24,0)),"")</f>
        <v>Dental</v>
      </c>
      <c r="F529" s="16" t="str">
        <f aca="false">IFERROR(INDEX('Staff Master'!$E$5:$E$24,MATCH(C529,'Staff Master'!$A$5:$A$24,0)),"")</f>
        <v>Dentist</v>
      </c>
      <c r="G529" s="10" t="s">
        <v>96</v>
      </c>
      <c r="H529" s="17" t="n">
        <f aca="false">IFERROR(INDEX('Shift Master'!$C$5:$C$16,MATCH(G529,'Shift Master'!$A$5:$A$16,0)),"")</f>
        <v>0.375</v>
      </c>
      <c r="I529" s="17" t="n">
        <f aca="false">IFERROR(INDEX('Shift Master'!$D$5:$D$16,MATCH(G529,'Shift Master'!$A$5:$A$16,0)),"")</f>
        <v>0.708333333333333</v>
      </c>
      <c r="J529" s="16" t="n">
        <f aca="false">IFERROR(INDEX('Shift Master'!$E$5:$E$16,MATCH(G529,'Shift Master'!$A$5:$A$16,0)),"")</f>
        <v>60</v>
      </c>
      <c r="K529" s="16" t="n">
        <f aca="false">IFERROR(INDEX('Shift Master'!$G$5:$G$16,MATCH(G529,'Shift Master'!$A$5:$A$16,0)),0)</f>
        <v>7</v>
      </c>
      <c r="L529" s="16" t="s">
        <v>228</v>
      </c>
      <c r="M529" s="16" t="s">
        <v>229</v>
      </c>
      <c r="N529" s="16" t="str">
        <f aca="false">IF(COUNTIFS('Staffing Coverage'!$A$5:$A$12,E529,'Staffing Coverage'!$B$5:$B$12,G529)=0,"",IF(COUNTIFS($A$5:$A$10004,A529,$E$5:$E$10004,E529,$G$5:$G$10004,G529)&lt;INDEX('Staffing Coverage'!$C$5:$C$12,MATCH(1,('Staffing Coverage'!$A$5:$A$12=E529)*('Staffing Coverage'!$B$5:$B$12=G529),0)),"SHORT","OK"))</f>
        <v/>
      </c>
    </row>
    <row r="530" customFormat="false" ht="15" hidden="false" customHeight="false" outlineLevel="0" collapsed="false">
      <c r="A530" s="15" t="n">
        <v>46322</v>
      </c>
      <c r="B530" s="16" t="str">
        <f aca="false">TEXT(A530,"ddd")</f>
        <v>Tue</v>
      </c>
      <c r="C530" s="10" t="s">
        <v>157</v>
      </c>
      <c r="D530" s="16" t="str">
        <f aca="false">IFERROR(INDEX('Staff Master'!$B$5:$B$24,MATCH(C530,'Staff Master'!$A$5:$A$24,0)),"")</f>
        <v>Dr. Youssef Nassar</v>
      </c>
      <c r="E530" s="16" t="str">
        <f aca="false">IFERROR(INDEX('Staff Master'!$D$5:$D$24,MATCH(C530,'Staff Master'!$A$5:$A$24,0)),"")</f>
        <v>General Practice</v>
      </c>
      <c r="F530" s="16" t="str">
        <f aca="false">IFERROR(INDEX('Staff Master'!$E$5:$E$24,MATCH(C530,'Staff Master'!$A$5:$A$24,0)),"")</f>
        <v>General Practitioner</v>
      </c>
      <c r="G530" s="10" t="s">
        <v>96</v>
      </c>
      <c r="H530" s="17" t="n">
        <f aca="false">IFERROR(INDEX('Shift Master'!$C$5:$C$16,MATCH(G530,'Shift Master'!$A$5:$A$16,0)),"")</f>
        <v>0.375</v>
      </c>
      <c r="I530" s="17" t="n">
        <f aca="false">IFERROR(INDEX('Shift Master'!$D$5:$D$16,MATCH(G530,'Shift Master'!$A$5:$A$16,0)),"")</f>
        <v>0.708333333333333</v>
      </c>
      <c r="J530" s="16" t="n">
        <f aca="false">IFERROR(INDEX('Shift Master'!$E$5:$E$16,MATCH(G530,'Shift Master'!$A$5:$A$16,0)),"")</f>
        <v>60</v>
      </c>
      <c r="K530" s="16" t="n">
        <f aca="false">IFERROR(INDEX('Shift Master'!$G$5:$G$16,MATCH(G530,'Shift Master'!$A$5:$A$16,0)),0)</f>
        <v>7</v>
      </c>
      <c r="L530" s="16" t="s">
        <v>228</v>
      </c>
      <c r="M530" s="16" t="s">
        <v>229</v>
      </c>
      <c r="N530" s="16" t="str">
        <f aca="false">IF(COUNTIFS('Staffing Coverage'!$A$5:$A$12,E530,'Staffing Coverage'!$B$5:$B$12,G530)=0,"",IF(COUNTIFS($A$5:$A$10004,A530,$E$5:$E$10004,E530,$G$5:$G$10004,G530)&lt;INDEX('Staffing Coverage'!$C$5:$C$12,MATCH(1,('Staffing Coverage'!$A$5:$A$12=E530)*('Staffing Coverage'!$B$5:$B$12=G530),0)),"SHORT","OK"))</f>
        <v/>
      </c>
    </row>
    <row r="531" customFormat="false" ht="15" hidden="false" customHeight="false" outlineLevel="0" collapsed="false">
      <c r="A531" s="15" t="n">
        <v>46322</v>
      </c>
      <c r="B531" s="16" t="str">
        <f aca="false">TEXT(A531,"ddd")</f>
        <v>Tue</v>
      </c>
      <c r="C531" s="10" t="s">
        <v>161</v>
      </c>
      <c r="D531" s="16" t="str">
        <f aca="false">IFERROR(INDEX('Staff Master'!$B$5:$B$24,MATCH(C531,'Staff Master'!$A$5:$A$24,0)),"")</f>
        <v>Grace Fernandez</v>
      </c>
      <c r="E531" s="16" t="str">
        <f aca="false">IFERROR(INDEX('Staff Master'!$D$5:$D$24,MATCH(C531,'Staff Master'!$A$5:$A$24,0)),"")</f>
        <v>Nursing</v>
      </c>
      <c r="F531" s="16" t="str">
        <f aca="false">IFERROR(INDEX('Staff Master'!$E$5:$E$24,MATCH(C531,'Staff Master'!$A$5:$A$24,0)),"")</f>
        <v>Nurse</v>
      </c>
      <c r="G531" s="10" t="s">
        <v>87</v>
      </c>
      <c r="H531" s="17" t="n">
        <f aca="false">IFERROR(INDEX('Shift Master'!$C$5:$C$16,MATCH(G531,'Shift Master'!$A$5:$A$16,0)),"")</f>
        <v>0.333333333333333</v>
      </c>
      <c r="I531" s="17" t="n">
        <f aca="false">IFERROR(INDEX('Shift Master'!$D$5:$D$16,MATCH(G531,'Shift Master'!$A$5:$A$16,0)),"")</f>
        <v>0.708333333333333</v>
      </c>
      <c r="J531" s="16" t="n">
        <f aca="false">IFERROR(INDEX('Shift Master'!$E$5:$E$16,MATCH(G531,'Shift Master'!$A$5:$A$16,0)),"")</f>
        <v>60</v>
      </c>
      <c r="K531" s="16" t="n">
        <f aca="false">IFERROR(INDEX('Shift Master'!$G$5:$G$16,MATCH(G531,'Shift Master'!$A$5:$A$16,0)),0)</f>
        <v>8</v>
      </c>
      <c r="L531" s="16" t="s">
        <v>228</v>
      </c>
      <c r="M531" s="16" t="s">
        <v>229</v>
      </c>
      <c r="N531" s="16" t="str">
        <f aca="false">IF(COUNTIFS('Staffing Coverage'!$A$5:$A$12,E531,'Staffing Coverage'!$B$5:$B$12,G531)=0,"",IF(COUNTIFS($A$5:$A$10004,A531,$E$5:$E$10004,E531,$G$5:$G$10004,G531)&lt;INDEX('Staffing Coverage'!$C$5:$C$12,MATCH(1,('Staffing Coverage'!$A$5:$A$12=E531)*('Staffing Coverage'!$B$5:$B$12=G531),0)),"SHORT","OK"))</f>
        <v>OK</v>
      </c>
    </row>
    <row r="532" customFormat="false" ht="15" hidden="false" customHeight="false" outlineLevel="0" collapsed="false">
      <c r="A532" s="15" t="n">
        <v>46322</v>
      </c>
      <c r="B532" s="16" t="str">
        <f aca="false">TEXT(A532,"ddd")</f>
        <v>Tue</v>
      </c>
      <c r="C532" s="10" t="s">
        <v>165</v>
      </c>
      <c r="D532" s="16" t="str">
        <f aca="false">IFERROR(INDEX('Staff Master'!$B$5:$B$24,MATCH(C532,'Staff Master'!$A$5:$A$24,0)),"")</f>
        <v>Priya Nair</v>
      </c>
      <c r="E532" s="16" t="str">
        <f aca="false">IFERROR(INDEX('Staff Master'!$D$5:$D$24,MATCH(C532,'Staff Master'!$A$5:$A$24,0)),"")</f>
        <v>Nursing</v>
      </c>
      <c r="F532" s="16" t="str">
        <f aca="false">IFERROR(INDEX('Staff Master'!$E$5:$E$24,MATCH(C532,'Staff Master'!$A$5:$A$24,0)),"")</f>
        <v>Nurse</v>
      </c>
      <c r="G532" s="10" t="s">
        <v>90</v>
      </c>
      <c r="H532" s="17" t="n">
        <f aca="false">IFERROR(INDEX('Shift Master'!$C$5:$C$16,MATCH(G532,'Shift Master'!$A$5:$A$16,0)),"")</f>
        <v>0.375</v>
      </c>
      <c r="I532" s="17" t="n">
        <f aca="false">IFERROR(INDEX('Shift Master'!$D$5:$D$16,MATCH(G532,'Shift Master'!$A$5:$A$16,0)),"")</f>
        <v>0.75</v>
      </c>
      <c r="J532" s="16" t="n">
        <f aca="false">IFERROR(INDEX('Shift Master'!$E$5:$E$16,MATCH(G532,'Shift Master'!$A$5:$A$16,0)),"")</f>
        <v>60</v>
      </c>
      <c r="K532" s="16" t="n">
        <f aca="false">IFERROR(INDEX('Shift Master'!$G$5:$G$16,MATCH(G532,'Shift Master'!$A$5:$A$16,0)),0)</f>
        <v>8</v>
      </c>
      <c r="L532" s="16" t="s">
        <v>228</v>
      </c>
      <c r="M532" s="16" t="s">
        <v>229</v>
      </c>
      <c r="N532" s="16" t="str">
        <f aca="false">IF(COUNTIFS('Staffing Coverage'!$A$5:$A$12,E532,'Staffing Coverage'!$B$5:$B$12,G532)=0,"",IF(COUNTIFS($A$5:$A$10004,A532,$E$5:$E$10004,E532,$G$5:$G$10004,G532)&lt;INDEX('Staffing Coverage'!$C$5:$C$12,MATCH(1,('Staffing Coverage'!$A$5:$A$12=E532)*('Staffing Coverage'!$B$5:$B$12=G532),0)),"SHORT","OK"))</f>
        <v>OK</v>
      </c>
    </row>
    <row r="533" customFormat="false" ht="15" hidden="false" customHeight="false" outlineLevel="0" collapsed="false">
      <c r="A533" s="15" t="n">
        <v>46322</v>
      </c>
      <c r="B533" s="16" t="str">
        <f aca="false">TEXT(A533,"ddd")</f>
        <v>Tue</v>
      </c>
      <c r="C533" s="10" t="s">
        <v>170</v>
      </c>
      <c r="D533" s="16" t="str">
        <f aca="false">IFERROR(INDEX('Staff Master'!$B$5:$B$24,MATCH(C533,'Staff Master'!$A$5:$A$24,0)),"")</f>
        <v>Maria Santos</v>
      </c>
      <c r="E533" s="16" t="str">
        <f aca="false">IFERROR(INDEX('Staff Master'!$D$5:$D$24,MATCH(C533,'Staff Master'!$A$5:$A$24,0)),"")</f>
        <v>Nursing</v>
      </c>
      <c r="F533" s="16" t="str">
        <f aca="false">IFERROR(INDEX('Staff Master'!$E$5:$E$24,MATCH(C533,'Staff Master'!$A$5:$A$24,0)),"")</f>
        <v>Nurse</v>
      </c>
      <c r="G533" s="10" t="s">
        <v>94</v>
      </c>
      <c r="H533" s="17" t="n">
        <f aca="false">IFERROR(INDEX('Shift Master'!$C$5:$C$16,MATCH(G533,'Shift Master'!$A$5:$A$16,0)),"")</f>
        <v>0.541666666666667</v>
      </c>
      <c r="I533" s="17" t="n">
        <f aca="false">IFERROR(INDEX('Shift Master'!$D$5:$D$16,MATCH(G533,'Shift Master'!$A$5:$A$16,0)),"")</f>
        <v>0.916666666666667</v>
      </c>
      <c r="J533" s="16" t="n">
        <f aca="false">IFERROR(INDEX('Shift Master'!$E$5:$E$16,MATCH(G533,'Shift Master'!$A$5:$A$16,0)),"")</f>
        <v>60</v>
      </c>
      <c r="K533" s="16" t="n">
        <f aca="false">IFERROR(INDEX('Shift Master'!$G$5:$G$16,MATCH(G533,'Shift Master'!$A$5:$A$16,0)),0)</f>
        <v>8</v>
      </c>
      <c r="L533" s="16" t="s">
        <v>228</v>
      </c>
      <c r="M533" s="16" t="s">
        <v>229</v>
      </c>
      <c r="N533" s="16" t="str">
        <f aca="false">IF(COUNTIFS('Staffing Coverage'!$A$5:$A$12,E533,'Staffing Coverage'!$B$5:$B$12,G533)=0,"",IF(COUNTIFS($A$5:$A$10004,A533,$E$5:$E$10004,E533,$G$5:$G$10004,G533)&lt;INDEX('Staffing Coverage'!$C$5:$C$12,MATCH(1,('Staffing Coverage'!$A$5:$A$12=E533)*('Staffing Coverage'!$B$5:$B$12=G533),0)),"SHORT","OK"))</f>
        <v/>
      </c>
    </row>
    <row r="534" customFormat="false" ht="15" hidden="false" customHeight="false" outlineLevel="0" collapsed="false">
      <c r="A534" s="15" t="n">
        <v>46322</v>
      </c>
      <c r="B534" s="16" t="str">
        <f aca="false">TEXT(A534,"ddd")</f>
        <v>Tue</v>
      </c>
      <c r="C534" s="10" t="s">
        <v>174</v>
      </c>
      <c r="D534" s="16" t="str">
        <f aca="false">IFERROR(INDEX('Staff Master'!$B$5:$B$24,MATCH(C534,'Staff Master'!$A$5:$A$24,0)),"")</f>
        <v>Aisha Al Shamsi</v>
      </c>
      <c r="E534" s="16" t="str">
        <f aca="false">IFERROR(INDEX('Staff Master'!$D$5:$D$24,MATCH(C534,'Staff Master'!$A$5:$A$24,0)),"")</f>
        <v>Reception</v>
      </c>
      <c r="F534" s="16" t="str">
        <f aca="false">IFERROR(INDEX('Staff Master'!$E$5:$E$24,MATCH(C534,'Staff Master'!$A$5:$A$24,0)),"")</f>
        <v>Receptionist</v>
      </c>
      <c r="G534" s="10" t="s">
        <v>87</v>
      </c>
      <c r="H534" s="17" t="n">
        <f aca="false">IFERROR(INDEX('Shift Master'!$C$5:$C$16,MATCH(G534,'Shift Master'!$A$5:$A$16,0)),"")</f>
        <v>0.333333333333333</v>
      </c>
      <c r="I534" s="17" t="n">
        <f aca="false">IFERROR(INDEX('Shift Master'!$D$5:$D$16,MATCH(G534,'Shift Master'!$A$5:$A$16,0)),"")</f>
        <v>0.708333333333333</v>
      </c>
      <c r="J534" s="16" t="n">
        <f aca="false">IFERROR(INDEX('Shift Master'!$E$5:$E$16,MATCH(G534,'Shift Master'!$A$5:$A$16,0)),"")</f>
        <v>60</v>
      </c>
      <c r="K534" s="16" t="n">
        <f aca="false">IFERROR(INDEX('Shift Master'!$G$5:$G$16,MATCH(G534,'Shift Master'!$A$5:$A$16,0)),0)</f>
        <v>8</v>
      </c>
      <c r="L534" s="16" t="s">
        <v>228</v>
      </c>
      <c r="M534" s="16" t="s">
        <v>229</v>
      </c>
      <c r="N534" s="16" t="str">
        <f aca="false">IF(COUNTIFS('Staffing Coverage'!$A$5:$A$12,E534,'Staffing Coverage'!$B$5:$B$12,G534)=0,"",IF(COUNTIFS($A$5:$A$10004,A534,$E$5:$E$10004,E534,$G$5:$G$10004,G534)&lt;INDEX('Staffing Coverage'!$C$5:$C$12,MATCH(1,('Staffing Coverage'!$A$5:$A$12=E534)*('Staffing Coverage'!$B$5:$B$12=G534),0)),"SHORT","OK"))</f>
        <v>SHORT</v>
      </c>
    </row>
    <row r="535" customFormat="false" ht="15" hidden="false" customHeight="false" outlineLevel="0" collapsed="false">
      <c r="A535" s="15" t="n">
        <v>46322</v>
      </c>
      <c r="B535" s="16" t="str">
        <f aca="false">TEXT(A535,"ddd")</f>
        <v>Tue</v>
      </c>
      <c r="C535" s="10" t="s">
        <v>179</v>
      </c>
      <c r="D535" s="16" t="str">
        <f aca="false">IFERROR(INDEX('Staff Master'!$B$5:$B$24,MATCH(C535,'Staff Master'!$A$5:$A$24,0)),"")</f>
        <v>John Dsouza</v>
      </c>
      <c r="E535" s="16" t="str">
        <f aca="false">IFERROR(INDEX('Staff Master'!$D$5:$D$24,MATCH(C535,'Staff Master'!$A$5:$A$24,0)),"")</f>
        <v>Reception</v>
      </c>
      <c r="F535" s="16" t="str">
        <f aca="false">IFERROR(INDEX('Staff Master'!$E$5:$E$24,MATCH(C535,'Staff Master'!$A$5:$A$24,0)),"")</f>
        <v>Receptionist</v>
      </c>
      <c r="G535" s="10" t="s">
        <v>97</v>
      </c>
      <c r="H535" s="17" t="n">
        <f aca="false">IFERROR(INDEX('Shift Master'!$C$5:$C$16,MATCH(G535,'Shift Master'!$A$5:$A$16,0)),"")</f>
        <v>0</v>
      </c>
      <c r="I535" s="17" t="n">
        <f aca="false">IFERROR(INDEX('Shift Master'!$D$5:$D$16,MATCH(G535,'Shift Master'!$A$5:$A$16,0)),"")</f>
        <v>0</v>
      </c>
      <c r="J535" s="16" t="n">
        <f aca="false">IFERROR(INDEX('Shift Master'!$E$5:$E$16,MATCH(G535,'Shift Master'!$A$5:$A$16,0)),"")</f>
        <v>0</v>
      </c>
      <c r="K535" s="16" t="n">
        <f aca="false">IFERROR(INDEX('Shift Master'!$G$5:$G$16,MATCH(G535,'Shift Master'!$A$5:$A$16,0)),0)</f>
        <v>0</v>
      </c>
      <c r="L535" s="16" t="s">
        <v>228</v>
      </c>
      <c r="M535" s="16" t="s">
        <v>229</v>
      </c>
      <c r="N535" s="16" t="str">
        <f aca="false">IF(COUNTIFS('Staffing Coverage'!$A$5:$A$12,E535,'Staffing Coverage'!$B$5:$B$12,G535)=0,"",IF(COUNTIFS($A$5:$A$10004,A535,$E$5:$E$10004,E535,$G$5:$G$10004,G535)&lt;INDEX('Staffing Coverage'!$C$5:$C$12,MATCH(1,('Staffing Coverage'!$A$5:$A$12=E535)*('Staffing Coverage'!$B$5:$B$12=G535),0)),"SHORT","OK"))</f>
        <v/>
      </c>
    </row>
    <row r="536" customFormat="false" ht="15" hidden="false" customHeight="false" outlineLevel="0" collapsed="false">
      <c r="A536" s="15" t="n">
        <v>46322</v>
      </c>
      <c r="B536" s="16" t="str">
        <f aca="false">TEXT(A536,"ddd")</f>
        <v>Tue</v>
      </c>
      <c r="C536" s="10" t="s">
        <v>184</v>
      </c>
      <c r="D536" s="16" t="str">
        <f aca="false">IFERROR(INDEX('Staff Master'!$B$5:$B$24,MATCH(C536,'Staff Master'!$A$5:$A$24,0)),"")</f>
        <v>Fatima Zahra</v>
      </c>
      <c r="E536" s="16" t="str">
        <f aca="false">IFERROR(INDEX('Staff Master'!$D$5:$D$24,MATCH(C536,'Staff Master'!$A$5:$A$24,0)),"")</f>
        <v>Reception</v>
      </c>
      <c r="F536" s="16" t="str">
        <f aca="false">IFERROR(INDEX('Staff Master'!$E$5:$E$24,MATCH(C536,'Staff Master'!$A$5:$A$24,0)),"")</f>
        <v>Receptionist</v>
      </c>
      <c r="G536" s="10" t="s">
        <v>94</v>
      </c>
      <c r="H536" s="17" t="n">
        <f aca="false">IFERROR(INDEX('Shift Master'!$C$5:$C$16,MATCH(G536,'Shift Master'!$A$5:$A$16,0)),"")</f>
        <v>0.541666666666667</v>
      </c>
      <c r="I536" s="17" t="n">
        <f aca="false">IFERROR(INDEX('Shift Master'!$D$5:$D$16,MATCH(G536,'Shift Master'!$A$5:$A$16,0)),"")</f>
        <v>0.916666666666667</v>
      </c>
      <c r="J536" s="16" t="n">
        <f aca="false">IFERROR(INDEX('Shift Master'!$E$5:$E$16,MATCH(G536,'Shift Master'!$A$5:$A$16,0)),"")</f>
        <v>60</v>
      </c>
      <c r="K536" s="16" t="n">
        <f aca="false">IFERROR(INDEX('Shift Master'!$G$5:$G$16,MATCH(G536,'Shift Master'!$A$5:$A$16,0)),0)</f>
        <v>8</v>
      </c>
      <c r="L536" s="16" t="s">
        <v>228</v>
      </c>
      <c r="M536" s="16" t="s">
        <v>229</v>
      </c>
      <c r="N536" s="16" t="str">
        <f aca="false">IF(COUNTIFS('Staffing Coverage'!$A$5:$A$12,E536,'Staffing Coverage'!$B$5:$B$12,G536)=0,"",IF(COUNTIFS($A$5:$A$10004,A536,$E$5:$E$10004,E536,$G$5:$G$10004,G536)&lt;INDEX('Staffing Coverage'!$C$5:$C$12,MATCH(1,('Staffing Coverage'!$A$5:$A$12=E536)*('Staffing Coverage'!$B$5:$B$12=G536),0)),"SHORT","OK"))</f>
        <v>OK</v>
      </c>
    </row>
    <row r="537" customFormat="false" ht="15" hidden="false" customHeight="false" outlineLevel="0" collapsed="false">
      <c r="A537" s="15" t="n">
        <v>46322</v>
      </c>
      <c r="B537" s="16" t="str">
        <f aca="false">TEXT(A537,"ddd")</f>
        <v>Tue</v>
      </c>
      <c r="C537" s="10" t="s">
        <v>188</v>
      </c>
      <c r="D537" s="16" t="str">
        <f aca="false">IFERROR(INDEX('Staff Master'!$B$5:$B$24,MATCH(C537,'Staff Master'!$A$5:$A$24,0)),"")</f>
        <v>Ana Reyes</v>
      </c>
      <c r="E537" s="16" t="str">
        <f aca="false">IFERROR(INDEX('Staff Master'!$D$5:$D$24,MATCH(C537,'Staff Master'!$A$5:$A$24,0)),"")</f>
        <v>Dental</v>
      </c>
      <c r="F537" s="16" t="str">
        <f aca="false">IFERROR(INDEX('Staff Master'!$E$5:$E$24,MATCH(C537,'Staff Master'!$A$5:$A$24,0)),"")</f>
        <v>Dental Assistant</v>
      </c>
      <c r="G537" s="10" t="s">
        <v>87</v>
      </c>
      <c r="H537" s="17" t="n">
        <f aca="false">IFERROR(INDEX('Shift Master'!$C$5:$C$16,MATCH(G537,'Shift Master'!$A$5:$A$16,0)),"")</f>
        <v>0.333333333333333</v>
      </c>
      <c r="I537" s="17" t="n">
        <f aca="false">IFERROR(INDEX('Shift Master'!$D$5:$D$16,MATCH(G537,'Shift Master'!$A$5:$A$16,0)),"")</f>
        <v>0.708333333333333</v>
      </c>
      <c r="J537" s="16" t="n">
        <f aca="false">IFERROR(INDEX('Shift Master'!$E$5:$E$16,MATCH(G537,'Shift Master'!$A$5:$A$16,0)),"")</f>
        <v>60</v>
      </c>
      <c r="K537" s="16" t="n">
        <f aca="false">IFERROR(INDEX('Shift Master'!$G$5:$G$16,MATCH(G537,'Shift Master'!$A$5:$A$16,0)),0)</f>
        <v>8</v>
      </c>
      <c r="L537" s="16" t="s">
        <v>228</v>
      </c>
      <c r="M537" s="16" t="s">
        <v>229</v>
      </c>
      <c r="N537" s="16" t="str">
        <f aca="false">IF(COUNTIFS('Staffing Coverage'!$A$5:$A$12,E537,'Staffing Coverage'!$B$5:$B$12,G537)=0,"",IF(COUNTIFS($A$5:$A$10004,A537,$E$5:$E$10004,E537,$G$5:$G$10004,G537)&lt;INDEX('Staffing Coverage'!$C$5:$C$12,MATCH(1,('Staffing Coverage'!$A$5:$A$12=E537)*('Staffing Coverage'!$B$5:$B$12=G537),0)),"SHORT","OK"))</f>
        <v>OK</v>
      </c>
    </row>
    <row r="538" customFormat="false" ht="15" hidden="false" customHeight="false" outlineLevel="0" collapsed="false">
      <c r="A538" s="15" t="n">
        <v>46322</v>
      </c>
      <c r="B538" s="16" t="str">
        <f aca="false">TEXT(A538,"ddd")</f>
        <v>Tue</v>
      </c>
      <c r="C538" s="10" t="s">
        <v>192</v>
      </c>
      <c r="D538" s="16" t="str">
        <f aca="false">IFERROR(INDEX('Staff Master'!$B$5:$B$24,MATCH(C538,'Staff Master'!$A$5:$A$24,0)),"")</f>
        <v>Noor Hassan</v>
      </c>
      <c r="E538" s="16" t="str">
        <f aca="false">IFERROR(INDEX('Staff Master'!$D$5:$D$24,MATCH(C538,'Staff Master'!$A$5:$A$24,0)),"")</f>
        <v>Dental</v>
      </c>
      <c r="F538" s="16" t="str">
        <f aca="false">IFERROR(INDEX('Staff Master'!$E$5:$E$24,MATCH(C538,'Staff Master'!$A$5:$A$24,0)),"")</f>
        <v>Dental Assistant</v>
      </c>
      <c r="G538" s="10" t="s">
        <v>90</v>
      </c>
      <c r="H538" s="17" t="n">
        <f aca="false">IFERROR(INDEX('Shift Master'!$C$5:$C$16,MATCH(G538,'Shift Master'!$A$5:$A$16,0)),"")</f>
        <v>0.375</v>
      </c>
      <c r="I538" s="17" t="n">
        <f aca="false">IFERROR(INDEX('Shift Master'!$D$5:$D$16,MATCH(G538,'Shift Master'!$A$5:$A$16,0)),"")</f>
        <v>0.75</v>
      </c>
      <c r="J538" s="16" t="n">
        <f aca="false">IFERROR(INDEX('Shift Master'!$E$5:$E$16,MATCH(G538,'Shift Master'!$A$5:$A$16,0)),"")</f>
        <v>60</v>
      </c>
      <c r="K538" s="16" t="n">
        <f aca="false">IFERROR(INDEX('Shift Master'!$G$5:$G$16,MATCH(G538,'Shift Master'!$A$5:$A$16,0)),0)</f>
        <v>8</v>
      </c>
      <c r="L538" s="16" t="s">
        <v>228</v>
      </c>
      <c r="M538" s="16" t="s">
        <v>229</v>
      </c>
      <c r="N538" s="16" t="str">
        <f aca="false">IF(COUNTIFS('Staffing Coverage'!$A$5:$A$12,E538,'Staffing Coverage'!$B$5:$B$12,G538)=0,"",IF(COUNTIFS($A$5:$A$10004,A538,$E$5:$E$10004,E538,$G$5:$G$10004,G538)&lt;INDEX('Staffing Coverage'!$C$5:$C$12,MATCH(1,('Staffing Coverage'!$A$5:$A$12=E538)*('Staffing Coverage'!$B$5:$B$12=G538),0)),"SHORT","OK"))</f>
        <v/>
      </c>
    </row>
    <row r="539" customFormat="false" ht="15" hidden="false" customHeight="false" outlineLevel="0" collapsed="false">
      <c r="A539" s="15" t="n">
        <v>46322</v>
      </c>
      <c r="B539" s="16" t="str">
        <f aca="false">TEXT(A539,"ddd")</f>
        <v>Tue</v>
      </c>
      <c r="C539" s="10" t="s">
        <v>196</v>
      </c>
      <c r="D539" s="16" t="str">
        <f aca="false">IFERROR(INDEX('Staff Master'!$B$5:$B$24,MATCH(C539,'Staff Master'!$A$5:$A$24,0)),"")</f>
        <v>Karan Mehta</v>
      </c>
      <c r="E539" s="16" t="str">
        <f aca="false">IFERROR(INDEX('Staff Master'!$D$5:$D$24,MATCH(C539,'Staff Master'!$A$5:$A$24,0)),"")</f>
        <v>Laser</v>
      </c>
      <c r="F539" s="16" t="str">
        <f aca="false">IFERROR(INDEX('Staff Master'!$E$5:$E$24,MATCH(C539,'Staff Master'!$A$5:$A$24,0)),"")</f>
        <v>Laser Technician</v>
      </c>
      <c r="G539" s="10" t="s">
        <v>90</v>
      </c>
      <c r="H539" s="17" t="n">
        <f aca="false">IFERROR(INDEX('Shift Master'!$C$5:$C$16,MATCH(G539,'Shift Master'!$A$5:$A$16,0)),"")</f>
        <v>0.375</v>
      </c>
      <c r="I539" s="17" t="n">
        <f aca="false">IFERROR(INDEX('Shift Master'!$D$5:$D$16,MATCH(G539,'Shift Master'!$A$5:$A$16,0)),"")</f>
        <v>0.75</v>
      </c>
      <c r="J539" s="16" t="n">
        <f aca="false">IFERROR(INDEX('Shift Master'!$E$5:$E$16,MATCH(G539,'Shift Master'!$A$5:$A$16,0)),"")</f>
        <v>60</v>
      </c>
      <c r="K539" s="16" t="n">
        <f aca="false">IFERROR(INDEX('Shift Master'!$G$5:$G$16,MATCH(G539,'Shift Master'!$A$5:$A$16,0)),0)</f>
        <v>8</v>
      </c>
      <c r="L539" s="16" t="s">
        <v>228</v>
      </c>
      <c r="M539" s="16" t="s">
        <v>229</v>
      </c>
      <c r="N539" s="16" t="str">
        <f aca="false">IF(COUNTIFS('Staffing Coverage'!$A$5:$A$12,E539,'Staffing Coverage'!$B$5:$B$12,G539)=0,"",IF(COUNTIFS($A$5:$A$10004,A539,$E$5:$E$10004,E539,$G$5:$G$10004,G539)&lt;INDEX('Staffing Coverage'!$C$5:$C$12,MATCH(1,('Staffing Coverage'!$A$5:$A$12=E539)*('Staffing Coverage'!$B$5:$B$12=G539),0)),"SHORT","OK"))</f>
        <v/>
      </c>
    </row>
    <row r="540" customFormat="false" ht="15" hidden="false" customHeight="false" outlineLevel="0" collapsed="false">
      <c r="A540" s="15" t="n">
        <v>46322</v>
      </c>
      <c r="B540" s="16" t="str">
        <f aca="false">TEXT(A540,"ddd")</f>
        <v>Tue</v>
      </c>
      <c r="C540" s="10" t="s">
        <v>200</v>
      </c>
      <c r="D540" s="16" t="str">
        <f aca="false">IFERROR(INDEX('Staff Master'!$B$5:$B$24,MATCH(C540,'Staff Master'!$A$5:$A$24,0)),"")</f>
        <v>Imran Sheikh</v>
      </c>
      <c r="E540" s="16" t="str">
        <f aca="false">IFERROR(INDEX('Staff Master'!$D$5:$D$24,MATCH(C540,'Staff Master'!$A$5:$A$24,0)),"")</f>
        <v>Dental Laboratory</v>
      </c>
      <c r="F540" s="16" t="str">
        <f aca="false">IFERROR(INDEX('Staff Master'!$E$5:$E$24,MATCH(C540,'Staff Master'!$A$5:$A$24,0)),"")</f>
        <v>Dental Technician</v>
      </c>
      <c r="G540" s="10" t="s">
        <v>87</v>
      </c>
      <c r="H540" s="17" t="n">
        <f aca="false">IFERROR(INDEX('Shift Master'!$C$5:$C$16,MATCH(G540,'Shift Master'!$A$5:$A$16,0)),"")</f>
        <v>0.333333333333333</v>
      </c>
      <c r="I540" s="17" t="n">
        <f aca="false">IFERROR(INDEX('Shift Master'!$D$5:$D$16,MATCH(G540,'Shift Master'!$A$5:$A$16,0)),"")</f>
        <v>0.708333333333333</v>
      </c>
      <c r="J540" s="16" t="n">
        <f aca="false">IFERROR(INDEX('Shift Master'!$E$5:$E$16,MATCH(G540,'Shift Master'!$A$5:$A$16,0)),"")</f>
        <v>60</v>
      </c>
      <c r="K540" s="16" t="n">
        <f aca="false">IFERROR(INDEX('Shift Master'!$G$5:$G$16,MATCH(G540,'Shift Master'!$A$5:$A$16,0)),0)</f>
        <v>8</v>
      </c>
      <c r="L540" s="16" t="s">
        <v>228</v>
      </c>
      <c r="M540" s="16" t="s">
        <v>229</v>
      </c>
      <c r="N540" s="16" t="str">
        <f aca="false">IF(COUNTIFS('Staffing Coverage'!$A$5:$A$12,E540,'Staffing Coverage'!$B$5:$B$12,G540)=0,"",IF(COUNTIFS($A$5:$A$10004,A540,$E$5:$E$10004,E540,$G$5:$G$10004,G540)&lt;INDEX('Staffing Coverage'!$C$5:$C$12,MATCH(1,('Staffing Coverage'!$A$5:$A$12=E540)*('Staffing Coverage'!$B$5:$B$12=G540),0)),"SHORT","OK"))</f>
        <v/>
      </c>
    </row>
    <row r="541" customFormat="false" ht="15" hidden="false" customHeight="false" outlineLevel="0" collapsed="false">
      <c r="A541" s="15" t="n">
        <v>46322</v>
      </c>
      <c r="B541" s="16" t="str">
        <f aca="false">TEXT(A541,"ddd")</f>
        <v>Tue</v>
      </c>
      <c r="C541" s="10" t="s">
        <v>204</v>
      </c>
      <c r="D541" s="16" t="str">
        <f aca="false">IFERROR(INDEX('Staff Master'!$B$5:$B$24,MATCH(C541,'Staff Master'!$A$5:$A$24,0)),"")</f>
        <v>Josephine Cruz</v>
      </c>
      <c r="E541" s="16" t="str">
        <f aca="false">IFERROR(INDEX('Staff Master'!$D$5:$D$24,MATCH(C541,'Staff Master'!$A$5:$A$24,0)),"")</f>
        <v>CSSD</v>
      </c>
      <c r="F541" s="16" t="str">
        <f aca="false">IFERROR(INDEX('Staff Master'!$E$5:$E$24,MATCH(C541,'Staff Master'!$A$5:$A$24,0)),"")</f>
        <v>CSSD Technician</v>
      </c>
      <c r="G541" s="10" t="s">
        <v>87</v>
      </c>
      <c r="H541" s="17" t="n">
        <f aca="false">IFERROR(INDEX('Shift Master'!$C$5:$C$16,MATCH(G541,'Shift Master'!$A$5:$A$16,0)),"")</f>
        <v>0.333333333333333</v>
      </c>
      <c r="I541" s="17" t="n">
        <f aca="false">IFERROR(INDEX('Shift Master'!$D$5:$D$16,MATCH(G541,'Shift Master'!$A$5:$A$16,0)),"")</f>
        <v>0.708333333333333</v>
      </c>
      <c r="J541" s="16" t="n">
        <f aca="false">IFERROR(INDEX('Shift Master'!$E$5:$E$16,MATCH(G541,'Shift Master'!$A$5:$A$16,0)),"")</f>
        <v>60</v>
      </c>
      <c r="K541" s="16" t="n">
        <f aca="false">IFERROR(INDEX('Shift Master'!$G$5:$G$16,MATCH(G541,'Shift Master'!$A$5:$A$16,0)),0)</f>
        <v>8</v>
      </c>
      <c r="L541" s="16" t="s">
        <v>228</v>
      </c>
      <c r="M541" s="16" t="s">
        <v>229</v>
      </c>
      <c r="N541" s="16" t="str">
        <f aca="false">IF(COUNTIFS('Staffing Coverage'!$A$5:$A$12,E541,'Staffing Coverage'!$B$5:$B$12,G541)=0,"",IF(COUNTIFS($A$5:$A$10004,A541,$E$5:$E$10004,E541,$G$5:$G$10004,G541)&lt;INDEX('Staffing Coverage'!$C$5:$C$12,MATCH(1,('Staffing Coverage'!$A$5:$A$12=E541)*('Staffing Coverage'!$B$5:$B$12=G541),0)),"SHORT","OK"))</f>
        <v>OK</v>
      </c>
    </row>
    <row r="542" customFormat="false" ht="15" hidden="false" customHeight="false" outlineLevel="0" collapsed="false">
      <c r="A542" s="15" t="n">
        <v>46322</v>
      </c>
      <c r="B542" s="16" t="str">
        <f aca="false">TEXT(A542,"ddd")</f>
        <v>Tue</v>
      </c>
      <c r="C542" s="10" t="s">
        <v>208</v>
      </c>
      <c r="D542" s="16" t="str">
        <f aca="false">IFERROR(INDEX('Staff Master'!$B$5:$B$24,MATCH(C542,'Staff Master'!$A$5:$A$24,0)),"")</f>
        <v>Rosalyn Tan</v>
      </c>
      <c r="E542" s="16" t="str">
        <f aca="false">IFERROR(INDEX('Staff Master'!$D$5:$D$24,MATCH(C542,'Staff Master'!$A$5:$A$24,0)),"")</f>
        <v>Cleaning</v>
      </c>
      <c r="F542" s="16" t="str">
        <f aca="false">IFERROR(INDEX('Staff Master'!$E$5:$E$24,MATCH(C542,'Staff Master'!$A$5:$A$24,0)),"")</f>
        <v>Cleaner</v>
      </c>
      <c r="G542" s="10" t="s">
        <v>87</v>
      </c>
      <c r="H542" s="17" t="n">
        <f aca="false">IFERROR(INDEX('Shift Master'!$C$5:$C$16,MATCH(G542,'Shift Master'!$A$5:$A$16,0)),"")</f>
        <v>0.333333333333333</v>
      </c>
      <c r="I542" s="17" t="n">
        <f aca="false">IFERROR(INDEX('Shift Master'!$D$5:$D$16,MATCH(G542,'Shift Master'!$A$5:$A$16,0)),"")</f>
        <v>0.708333333333333</v>
      </c>
      <c r="J542" s="16" t="n">
        <f aca="false">IFERROR(INDEX('Shift Master'!$E$5:$E$16,MATCH(G542,'Shift Master'!$A$5:$A$16,0)),"")</f>
        <v>60</v>
      </c>
      <c r="K542" s="16" t="n">
        <f aca="false">IFERROR(INDEX('Shift Master'!$G$5:$G$16,MATCH(G542,'Shift Master'!$A$5:$A$16,0)),0)</f>
        <v>8</v>
      </c>
      <c r="L542" s="16" t="s">
        <v>228</v>
      </c>
      <c r="M542" s="16" t="s">
        <v>229</v>
      </c>
      <c r="N542" s="16" t="str">
        <f aca="false">IF(COUNTIFS('Staffing Coverage'!$A$5:$A$12,E542,'Staffing Coverage'!$B$5:$B$12,G542)=0,"",IF(COUNTIFS($A$5:$A$10004,A542,$E$5:$E$10004,E542,$G$5:$G$10004,G542)&lt;INDEX('Staffing Coverage'!$C$5:$C$12,MATCH(1,('Staffing Coverage'!$A$5:$A$12=E542)*('Staffing Coverage'!$B$5:$B$12=G542),0)),"SHORT","OK"))</f>
        <v>OK</v>
      </c>
    </row>
    <row r="543" customFormat="false" ht="15" hidden="false" customHeight="false" outlineLevel="0" collapsed="false">
      <c r="A543" s="15" t="n">
        <v>46322</v>
      </c>
      <c r="B543" s="16" t="str">
        <f aca="false">TEXT(A543,"ddd")</f>
        <v>Tue</v>
      </c>
      <c r="C543" s="10" t="s">
        <v>212</v>
      </c>
      <c r="D543" s="16" t="str">
        <f aca="false">IFERROR(INDEX('Staff Master'!$B$5:$B$24,MATCH(C543,'Staff Master'!$A$5:$A$24,0)),"")</f>
        <v>Hassan Baig</v>
      </c>
      <c r="E543" s="16" t="str">
        <f aca="false">IFERROR(INDEX('Staff Master'!$D$5:$D$24,MATCH(C543,'Staff Master'!$A$5:$A$24,0)),"")</f>
        <v>Facilities</v>
      </c>
      <c r="F543" s="16" t="str">
        <f aca="false">IFERROR(INDEX('Staff Master'!$E$5:$E$24,MATCH(C543,'Staff Master'!$A$5:$A$24,0)),"")</f>
        <v>Facility Manager</v>
      </c>
      <c r="G543" s="10" t="s">
        <v>90</v>
      </c>
      <c r="H543" s="17" t="n">
        <f aca="false">IFERROR(INDEX('Shift Master'!$C$5:$C$16,MATCH(G543,'Shift Master'!$A$5:$A$16,0)),"")</f>
        <v>0.375</v>
      </c>
      <c r="I543" s="17" t="n">
        <f aca="false">IFERROR(INDEX('Shift Master'!$D$5:$D$16,MATCH(G543,'Shift Master'!$A$5:$A$16,0)),"")</f>
        <v>0.75</v>
      </c>
      <c r="J543" s="16" t="n">
        <f aca="false">IFERROR(INDEX('Shift Master'!$E$5:$E$16,MATCH(G543,'Shift Master'!$A$5:$A$16,0)),"")</f>
        <v>60</v>
      </c>
      <c r="K543" s="16" t="n">
        <f aca="false">IFERROR(INDEX('Shift Master'!$G$5:$G$16,MATCH(G543,'Shift Master'!$A$5:$A$16,0)),0)</f>
        <v>8</v>
      </c>
      <c r="L543" s="16" t="s">
        <v>228</v>
      </c>
      <c r="M543" s="16" t="s">
        <v>229</v>
      </c>
      <c r="N543" s="16" t="str">
        <f aca="false">IF(COUNTIFS('Staffing Coverage'!$A$5:$A$12,E543,'Staffing Coverage'!$B$5:$B$12,G543)=0,"",IF(COUNTIFS($A$5:$A$10004,A543,$E$5:$E$10004,E543,$G$5:$G$10004,G543)&lt;INDEX('Staffing Coverage'!$C$5:$C$12,MATCH(1,('Staffing Coverage'!$A$5:$A$12=E543)*('Staffing Coverage'!$B$5:$B$12=G543),0)),"SHORT","OK"))</f>
        <v/>
      </c>
    </row>
    <row r="544" customFormat="false" ht="15" hidden="false" customHeight="false" outlineLevel="0" collapsed="false">
      <c r="A544" s="15" t="n">
        <v>46322</v>
      </c>
      <c r="B544" s="16" t="str">
        <f aca="false">TEXT(A544,"ddd")</f>
        <v>Tue</v>
      </c>
      <c r="C544" s="10" t="s">
        <v>178</v>
      </c>
      <c r="D544" s="16" t="str">
        <f aca="false">IFERROR(INDEX('Staff Master'!$B$5:$B$24,MATCH(C544,'Staff Master'!$A$5:$A$24,0)),"")</f>
        <v>Meera Pillai</v>
      </c>
      <c r="E544" s="16" t="str">
        <f aca="false">IFERROR(INDEX('Staff Master'!$D$5:$D$24,MATCH(C544,'Staff Master'!$A$5:$A$24,0)),"")</f>
        <v>HR</v>
      </c>
      <c r="F544" s="16" t="str">
        <f aca="false">IFERROR(INDEX('Staff Master'!$E$5:$E$24,MATCH(C544,'Staff Master'!$A$5:$A$24,0)),"")</f>
        <v>HR Executive</v>
      </c>
      <c r="G544" s="10" t="s">
        <v>90</v>
      </c>
      <c r="H544" s="17" t="n">
        <f aca="false">IFERROR(INDEX('Shift Master'!$C$5:$C$16,MATCH(G544,'Shift Master'!$A$5:$A$16,0)),"")</f>
        <v>0.375</v>
      </c>
      <c r="I544" s="17" t="n">
        <f aca="false">IFERROR(INDEX('Shift Master'!$D$5:$D$16,MATCH(G544,'Shift Master'!$A$5:$A$16,0)),"")</f>
        <v>0.75</v>
      </c>
      <c r="J544" s="16" t="n">
        <f aca="false">IFERROR(INDEX('Shift Master'!$E$5:$E$16,MATCH(G544,'Shift Master'!$A$5:$A$16,0)),"")</f>
        <v>60</v>
      </c>
      <c r="K544" s="16" t="n">
        <f aca="false">IFERROR(INDEX('Shift Master'!$G$5:$G$16,MATCH(G544,'Shift Master'!$A$5:$A$16,0)),0)</f>
        <v>8</v>
      </c>
      <c r="L544" s="16" t="s">
        <v>228</v>
      </c>
      <c r="M544" s="16" t="s">
        <v>229</v>
      </c>
      <c r="N544" s="16" t="str">
        <f aca="false">IF(COUNTIFS('Staffing Coverage'!$A$5:$A$12,E544,'Staffing Coverage'!$B$5:$B$12,G544)=0,"",IF(COUNTIFS($A$5:$A$10004,A544,$E$5:$E$10004,E544,$G$5:$G$10004,G544)&lt;INDEX('Staffing Coverage'!$C$5:$C$12,MATCH(1,('Staffing Coverage'!$A$5:$A$12=E544)*('Staffing Coverage'!$B$5:$B$12=G544),0)),"SHORT","OK"))</f>
        <v/>
      </c>
    </row>
    <row r="545" customFormat="false" ht="15" hidden="false" customHeight="false" outlineLevel="0" collapsed="false">
      <c r="A545" s="15" t="n">
        <v>46323</v>
      </c>
      <c r="B545" s="16" t="str">
        <f aca="false">TEXT(A545,"ddd")</f>
        <v>Wed</v>
      </c>
      <c r="C545" s="10" t="s">
        <v>128</v>
      </c>
      <c r="D545" s="16" t="str">
        <f aca="false">IFERROR(INDEX('Staff Master'!$B$5:$B$24,MATCH(C545,'Staff Master'!$A$5:$A$24,0)),"")</f>
        <v>Rashid Al Nuaimi</v>
      </c>
      <c r="E545" s="16" t="str">
        <f aca="false">IFERROR(INDEX('Staff Master'!$D$5:$D$24,MATCH(C545,'Staff Master'!$A$5:$A$24,0)),"")</f>
        <v>Management</v>
      </c>
      <c r="F545" s="16" t="str">
        <f aca="false">IFERROR(INDEX('Staff Master'!$E$5:$E$24,MATCH(C545,'Staff Master'!$A$5:$A$24,0)),"")</f>
        <v>CEO</v>
      </c>
      <c r="G545" s="10" t="s">
        <v>90</v>
      </c>
      <c r="H545" s="17" t="n">
        <f aca="false">IFERROR(INDEX('Shift Master'!$C$5:$C$16,MATCH(G545,'Shift Master'!$A$5:$A$16,0)),"")</f>
        <v>0.375</v>
      </c>
      <c r="I545" s="17" t="n">
        <f aca="false">IFERROR(INDEX('Shift Master'!$D$5:$D$16,MATCH(G545,'Shift Master'!$A$5:$A$16,0)),"")</f>
        <v>0.75</v>
      </c>
      <c r="J545" s="16" t="n">
        <f aca="false">IFERROR(INDEX('Shift Master'!$E$5:$E$16,MATCH(G545,'Shift Master'!$A$5:$A$16,0)),"")</f>
        <v>60</v>
      </c>
      <c r="K545" s="16" t="n">
        <f aca="false">IFERROR(INDEX('Shift Master'!$G$5:$G$16,MATCH(G545,'Shift Master'!$A$5:$A$16,0)),0)</f>
        <v>8</v>
      </c>
      <c r="L545" s="16" t="s">
        <v>228</v>
      </c>
      <c r="M545" s="16" t="s">
        <v>229</v>
      </c>
      <c r="N545" s="16" t="str">
        <f aca="false">IF(COUNTIFS('Staffing Coverage'!$A$5:$A$12,E545,'Staffing Coverage'!$B$5:$B$12,G545)=0,"",IF(COUNTIFS($A$5:$A$10004,A545,$E$5:$E$10004,E545,$G$5:$G$10004,G545)&lt;INDEX('Staffing Coverage'!$C$5:$C$12,MATCH(1,('Staffing Coverage'!$A$5:$A$12=E545)*('Staffing Coverage'!$B$5:$B$12=G545),0)),"SHORT","OK"))</f>
        <v/>
      </c>
    </row>
    <row r="546" customFormat="false" ht="15" hidden="false" customHeight="false" outlineLevel="0" collapsed="false">
      <c r="A546" s="15" t="n">
        <v>46323</v>
      </c>
      <c r="B546" s="16" t="str">
        <f aca="false">TEXT(A546,"ddd")</f>
        <v>Wed</v>
      </c>
      <c r="C546" s="10" t="s">
        <v>137</v>
      </c>
      <c r="D546" s="16" t="str">
        <f aca="false">IFERROR(INDEX('Staff Master'!$B$5:$B$24,MATCH(C546,'Staff Master'!$A$5:$A$24,0)),"")</f>
        <v>Dr. Sara Haddad</v>
      </c>
      <c r="E546" s="16" t="str">
        <f aca="false">IFERROR(INDEX('Staff Master'!$D$5:$D$24,MATCH(C546,'Staff Master'!$A$5:$A$24,0)),"")</f>
        <v>General Practice</v>
      </c>
      <c r="F546" s="16" t="str">
        <f aca="false">IFERROR(INDEX('Staff Master'!$E$5:$E$24,MATCH(C546,'Staff Master'!$A$5:$A$24,0)),"")</f>
        <v>Medical Director</v>
      </c>
      <c r="G546" s="10" t="s">
        <v>96</v>
      </c>
      <c r="H546" s="17" t="n">
        <f aca="false">IFERROR(INDEX('Shift Master'!$C$5:$C$16,MATCH(G546,'Shift Master'!$A$5:$A$16,0)),"")</f>
        <v>0.375</v>
      </c>
      <c r="I546" s="17" t="n">
        <f aca="false">IFERROR(INDEX('Shift Master'!$D$5:$D$16,MATCH(G546,'Shift Master'!$A$5:$A$16,0)),"")</f>
        <v>0.708333333333333</v>
      </c>
      <c r="J546" s="16" t="n">
        <f aca="false">IFERROR(INDEX('Shift Master'!$E$5:$E$16,MATCH(G546,'Shift Master'!$A$5:$A$16,0)),"")</f>
        <v>60</v>
      </c>
      <c r="K546" s="16" t="n">
        <f aca="false">IFERROR(INDEX('Shift Master'!$G$5:$G$16,MATCH(G546,'Shift Master'!$A$5:$A$16,0)),0)</f>
        <v>7</v>
      </c>
      <c r="L546" s="16" t="s">
        <v>228</v>
      </c>
      <c r="M546" s="16" t="s">
        <v>229</v>
      </c>
      <c r="N546" s="16" t="str">
        <f aca="false">IF(COUNTIFS('Staffing Coverage'!$A$5:$A$12,E546,'Staffing Coverage'!$B$5:$B$12,G546)=0,"",IF(COUNTIFS($A$5:$A$10004,A546,$E$5:$E$10004,E546,$G$5:$G$10004,G546)&lt;INDEX('Staffing Coverage'!$C$5:$C$12,MATCH(1,('Staffing Coverage'!$A$5:$A$12=E546)*('Staffing Coverage'!$B$5:$B$12=G546),0)),"SHORT","OK"))</f>
        <v/>
      </c>
    </row>
    <row r="547" customFormat="false" ht="15" hidden="false" customHeight="false" outlineLevel="0" collapsed="false">
      <c r="A547" s="15" t="n">
        <v>46323</v>
      </c>
      <c r="B547" s="16" t="str">
        <f aca="false">TEXT(A547,"ddd")</f>
        <v>Wed</v>
      </c>
      <c r="C547" s="10" t="s">
        <v>142</v>
      </c>
      <c r="D547" s="16" t="str">
        <f aca="false">IFERROR(INDEX('Staff Master'!$B$5:$B$24,MATCH(C547,'Staff Master'!$A$5:$A$24,0)),"")</f>
        <v>Dr. Omar Khalil</v>
      </c>
      <c r="E547" s="16" t="str">
        <f aca="false">IFERROR(INDEX('Staff Master'!$D$5:$D$24,MATCH(C547,'Staff Master'!$A$5:$A$24,0)),"")</f>
        <v>General Practice</v>
      </c>
      <c r="F547" s="16" t="str">
        <f aca="false">IFERROR(INDEX('Staff Master'!$E$5:$E$24,MATCH(C547,'Staff Master'!$A$5:$A$24,0)),"")</f>
        <v>Doctor</v>
      </c>
      <c r="G547" s="10" t="s">
        <v>96</v>
      </c>
      <c r="H547" s="17" t="n">
        <f aca="false">IFERROR(INDEX('Shift Master'!$C$5:$C$16,MATCH(G547,'Shift Master'!$A$5:$A$16,0)),"")</f>
        <v>0.375</v>
      </c>
      <c r="I547" s="17" t="n">
        <f aca="false">IFERROR(INDEX('Shift Master'!$D$5:$D$16,MATCH(G547,'Shift Master'!$A$5:$A$16,0)),"")</f>
        <v>0.708333333333333</v>
      </c>
      <c r="J547" s="16" t="n">
        <f aca="false">IFERROR(INDEX('Shift Master'!$E$5:$E$16,MATCH(G547,'Shift Master'!$A$5:$A$16,0)),"")</f>
        <v>60</v>
      </c>
      <c r="K547" s="16" t="n">
        <f aca="false">IFERROR(INDEX('Shift Master'!$G$5:$G$16,MATCH(G547,'Shift Master'!$A$5:$A$16,0)),0)</f>
        <v>7</v>
      </c>
      <c r="L547" s="16" t="s">
        <v>228</v>
      </c>
      <c r="M547" s="16" t="s">
        <v>229</v>
      </c>
      <c r="N547" s="16" t="str">
        <f aca="false">IF(COUNTIFS('Staffing Coverage'!$A$5:$A$12,E547,'Staffing Coverage'!$B$5:$B$12,G547)=0,"",IF(COUNTIFS($A$5:$A$10004,A547,$E$5:$E$10004,E547,$G$5:$G$10004,G547)&lt;INDEX('Staffing Coverage'!$C$5:$C$12,MATCH(1,('Staffing Coverage'!$A$5:$A$12=E547)*('Staffing Coverage'!$B$5:$B$12=G547),0)),"SHORT","OK"))</f>
        <v/>
      </c>
    </row>
    <row r="548" customFormat="false" ht="15" hidden="false" customHeight="false" outlineLevel="0" collapsed="false">
      <c r="A548" s="15" t="n">
        <v>46323</v>
      </c>
      <c r="B548" s="16" t="str">
        <f aca="false">TEXT(A548,"ddd")</f>
        <v>Wed</v>
      </c>
      <c r="C548" s="10" t="s">
        <v>146</v>
      </c>
      <c r="D548" s="16" t="str">
        <f aca="false">IFERROR(INDEX('Staff Master'!$B$5:$B$24,MATCH(C548,'Staff Master'!$A$5:$A$24,0)),"")</f>
        <v>Dr. Lina Abboud</v>
      </c>
      <c r="E548" s="16" t="str">
        <f aca="false">IFERROR(INDEX('Staff Master'!$D$5:$D$24,MATCH(C548,'Staff Master'!$A$5:$A$24,0)),"")</f>
        <v>Dental</v>
      </c>
      <c r="F548" s="16" t="str">
        <f aca="false">IFERROR(INDEX('Staff Master'!$E$5:$E$24,MATCH(C548,'Staff Master'!$A$5:$A$24,0)),"")</f>
        <v>Dentist</v>
      </c>
      <c r="G548" s="10" t="s">
        <v>96</v>
      </c>
      <c r="H548" s="17" t="n">
        <f aca="false">IFERROR(INDEX('Shift Master'!$C$5:$C$16,MATCH(G548,'Shift Master'!$A$5:$A$16,0)),"")</f>
        <v>0.375</v>
      </c>
      <c r="I548" s="17" t="n">
        <f aca="false">IFERROR(INDEX('Shift Master'!$D$5:$D$16,MATCH(G548,'Shift Master'!$A$5:$A$16,0)),"")</f>
        <v>0.708333333333333</v>
      </c>
      <c r="J548" s="16" t="n">
        <f aca="false">IFERROR(INDEX('Shift Master'!$E$5:$E$16,MATCH(G548,'Shift Master'!$A$5:$A$16,0)),"")</f>
        <v>60</v>
      </c>
      <c r="K548" s="16" t="n">
        <f aca="false">IFERROR(INDEX('Shift Master'!$G$5:$G$16,MATCH(G548,'Shift Master'!$A$5:$A$16,0)),0)</f>
        <v>7</v>
      </c>
      <c r="L548" s="16" t="s">
        <v>228</v>
      </c>
      <c r="M548" s="16" t="s">
        <v>229</v>
      </c>
      <c r="N548" s="16" t="str">
        <f aca="false">IF(COUNTIFS('Staffing Coverage'!$A$5:$A$12,E548,'Staffing Coverage'!$B$5:$B$12,G548)=0,"",IF(COUNTIFS($A$5:$A$10004,A548,$E$5:$E$10004,E548,$G$5:$G$10004,G548)&lt;INDEX('Staffing Coverage'!$C$5:$C$12,MATCH(1,('Staffing Coverage'!$A$5:$A$12=E548)*('Staffing Coverage'!$B$5:$B$12=G548),0)),"SHORT","OK"))</f>
        <v/>
      </c>
    </row>
    <row r="549" customFormat="false" ht="15" hidden="false" customHeight="false" outlineLevel="0" collapsed="false">
      <c r="A549" s="15" t="n">
        <v>46323</v>
      </c>
      <c r="B549" s="16" t="str">
        <f aca="false">TEXT(A549,"ddd")</f>
        <v>Wed</v>
      </c>
      <c r="C549" s="10" t="s">
        <v>150</v>
      </c>
      <c r="D549" s="16" t="str">
        <f aca="false">IFERROR(INDEX('Staff Master'!$B$5:$B$24,MATCH(C549,'Staff Master'!$A$5:$A$24,0)),"")</f>
        <v>Dr. Farah Idris</v>
      </c>
      <c r="E549" s="16" t="str">
        <f aca="false">IFERROR(INDEX('Staff Master'!$D$5:$D$24,MATCH(C549,'Staff Master'!$A$5:$A$24,0)),"")</f>
        <v>Dental</v>
      </c>
      <c r="F549" s="16" t="str">
        <f aca="false">IFERROR(INDEX('Staff Master'!$E$5:$E$24,MATCH(C549,'Staff Master'!$A$5:$A$24,0)),"")</f>
        <v>Dentist</v>
      </c>
      <c r="G549" s="10" t="s">
        <v>96</v>
      </c>
      <c r="H549" s="17" t="n">
        <f aca="false">IFERROR(INDEX('Shift Master'!$C$5:$C$16,MATCH(G549,'Shift Master'!$A$5:$A$16,0)),"")</f>
        <v>0.375</v>
      </c>
      <c r="I549" s="17" t="n">
        <f aca="false">IFERROR(INDEX('Shift Master'!$D$5:$D$16,MATCH(G549,'Shift Master'!$A$5:$A$16,0)),"")</f>
        <v>0.708333333333333</v>
      </c>
      <c r="J549" s="16" t="n">
        <f aca="false">IFERROR(INDEX('Shift Master'!$E$5:$E$16,MATCH(G549,'Shift Master'!$A$5:$A$16,0)),"")</f>
        <v>60</v>
      </c>
      <c r="K549" s="16" t="n">
        <f aca="false">IFERROR(INDEX('Shift Master'!$G$5:$G$16,MATCH(G549,'Shift Master'!$A$5:$A$16,0)),0)</f>
        <v>7</v>
      </c>
      <c r="L549" s="16" t="s">
        <v>228</v>
      </c>
      <c r="M549" s="16" t="s">
        <v>229</v>
      </c>
      <c r="N549" s="16" t="str">
        <f aca="false">IF(COUNTIFS('Staffing Coverage'!$A$5:$A$12,E549,'Staffing Coverage'!$B$5:$B$12,G549)=0,"",IF(COUNTIFS($A$5:$A$10004,A549,$E$5:$E$10004,E549,$G$5:$G$10004,G549)&lt;INDEX('Staffing Coverage'!$C$5:$C$12,MATCH(1,('Staffing Coverage'!$A$5:$A$12=E549)*('Staffing Coverage'!$B$5:$B$12=G549),0)),"SHORT","OK"))</f>
        <v/>
      </c>
    </row>
    <row r="550" customFormat="false" ht="15" hidden="false" customHeight="false" outlineLevel="0" collapsed="false">
      <c r="A550" s="15" t="n">
        <v>46323</v>
      </c>
      <c r="B550" s="16" t="str">
        <f aca="false">TEXT(A550,"ddd")</f>
        <v>Wed</v>
      </c>
      <c r="C550" s="10" t="s">
        <v>157</v>
      </c>
      <c r="D550" s="16" t="str">
        <f aca="false">IFERROR(INDEX('Staff Master'!$B$5:$B$24,MATCH(C550,'Staff Master'!$A$5:$A$24,0)),"")</f>
        <v>Dr. Youssef Nassar</v>
      </c>
      <c r="E550" s="16" t="str">
        <f aca="false">IFERROR(INDEX('Staff Master'!$D$5:$D$24,MATCH(C550,'Staff Master'!$A$5:$A$24,0)),"")</f>
        <v>General Practice</v>
      </c>
      <c r="F550" s="16" t="str">
        <f aca="false">IFERROR(INDEX('Staff Master'!$E$5:$E$24,MATCH(C550,'Staff Master'!$A$5:$A$24,0)),"")</f>
        <v>General Practitioner</v>
      </c>
      <c r="G550" s="10" t="s">
        <v>96</v>
      </c>
      <c r="H550" s="17" t="n">
        <f aca="false">IFERROR(INDEX('Shift Master'!$C$5:$C$16,MATCH(G550,'Shift Master'!$A$5:$A$16,0)),"")</f>
        <v>0.375</v>
      </c>
      <c r="I550" s="17" t="n">
        <f aca="false">IFERROR(INDEX('Shift Master'!$D$5:$D$16,MATCH(G550,'Shift Master'!$A$5:$A$16,0)),"")</f>
        <v>0.708333333333333</v>
      </c>
      <c r="J550" s="16" t="n">
        <f aca="false">IFERROR(INDEX('Shift Master'!$E$5:$E$16,MATCH(G550,'Shift Master'!$A$5:$A$16,0)),"")</f>
        <v>60</v>
      </c>
      <c r="K550" s="16" t="n">
        <f aca="false">IFERROR(INDEX('Shift Master'!$G$5:$G$16,MATCH(G550,'Shift Master'!$A$5:$A$16,0)),0)</f>
        <v>7</v>
      </c>
      <c r="L550" s="16" t="s">
        <v>228</v>
      </c>
      <c r="M550" s="16" t="s">
        <v>229</v>
      </c>
      <c r="N550" s="16" t="str">
        <f aca="false">IF(COUNTIFS('Staffing Coverage'!$A$5:$A$12,E550,'Staffing Coverage'!$B$5:$B$12,G550)=0,"",IF(COUNTIFS($A$5:$A$10004,A550,$E$5:$E$10004,E550,$G$5:$G$10004,G550)&lt;INDEX('Staffing Coverage'!$C$5:$C$12,MATCH(1,('Staffing Coverage'!$A$5:$A$12=E550)*('Staffing Coverage'!$B$5:$B$12=G550),0)),"SHORT","OK"))</f>
        <v/>
      </c>
    </row>
    <row r="551" customFormat="false" ht="15" hidden="false" customHeight="false" outlineLevel="0" collapsed="false">
      <c r="A551" s="15" t="n">
        <v>46323</v>
      </c>
      <c r="B551" s="16" t="str">
        <f aca="false">TEXT(A551,"ddd")</f>
        <v>Wed</v>
      </c>
      <c r="C551" s="10" t="s">
        <v>161</v>
      </c>
      <c r="D551" s="16" t="str">
        <f aca="false">IFERROR(INDEX('Staff Master'!$B$5:$B$24,MATCH(C551,'Staff Master'!$A$5:$A$24,0)),"")</f>
        <v>Grace Fernandez</v>
      </c>
      <c r="E551" s="16" t="str">
        <f aca="false">IFERROR(INDEX('Staff Master'!$D$5:$D$24,MATCH(C551,'Staff Master'!$A$5:$A$24,0)),"")</f>
        <v>Nursing</v>
      </c>
      <c r="F551" s="16" t="str">
        <f aca="false">IFERROR(INDEX('Staff Master'!$E$5:$E$24,MATCH(C551,'Staff Master'!$A$5:$A$24,0)),"")</f>
        <v>Nurse</v>
      </c>
      <c r="G551" s="10" t="s">
        <v>87</v>
      </c>
      <c r="H551" s="17" t="n">
        <f aca="false">IFERROR(INDEX('Shift Master'!$C$5:$C$16,MATCH(G551,'Shift Master'!$A$5:$A$16,0)),"")</f>
        <v>0.333333333333333</v>
      </c>
      <c r="I551" s="17" t="n">
        <f aca="false">IFERROR(INDEX('Shift Master'!$D$5:$D$16,MATCH(G551,'Shift Master'!$A$5:$A$16,0)),"")</f>
        <v>0.708333333333333</v>
      </c>
      <c r="J551" s="16" t="n">
        <f aca="false">IFERROR(INDEX('Shift Master'!$E$5:$E$16,MATCH(G551,'Shift Master'!$A$5:$A$16,0)),"")</f>
        <v>60</v>
      </c>
      <c r="K551" s="16" t="n">
        <f aca="false">IFERROR(INDEX('Shift Master'!$G$5:$G$16,MATCH(G551,'Shift Master'!$A$5:$A$16,0)),0)</f>
        <v>8</v>
      </c>
      <c r="L551" s="16" t="s">
        <v>228</v>
      </c>
      <c r="M551" s="16" t="s">
        <v>229</v>
      </c>
      <c r="N551" s="16" t="str">
        <f aca="false">IF(COUNTIFS('Staffing Coverage'!$A$5:$A$12,E551,'Staffing Coverage'!$B$5:$B$12,G551)=0,"",IF(COUNTIFS($A$5:$A$10004,A551,$E$5:$E$10004,E551,$G$5:$G$10004,G551)&lt;INDEX('Staffing Coverage'!$C$5:$C$12,MATCH(1,('Staffing Coverage'!$A$5:$A$12=E551)*('Staffing Coverage'!$B$5:$B$12=G551),0)),"SHORT","OK"))</f>
        <v>OK</v>
      </c>
    </row>
    <row r="552" customFormat="false" ht="15" hidden="false" customHeight="false" outlineLevel="0" collapsed="false">
      <c r="A552" s="15" t="n">
        <v>46323</v>
      </c>
      <c r="B552" s="16" t="str">
        <f aca="false">TEXT(A552,"ddd")</f>
        <v>Wed</v>
      </c>
      <c r="C552" s="10" t="s">
        <v>165</v>
      </c>
      <c r="D552" s="16" t="str">
        <f aca="false">IFERROR(INDEX('Staff Master'!$B$5:$B$24,MATCH(C552,'Staff Master'!$A$5:$A$24,0)),"")</f>
        <v>Priya Nair</v>
      </c>
      <c r="E552" s="16" t="str">
        <f aca="false">IFERROR(INDEX('Staff Master'!$D$5:$D$24,MATCH(C552,'Staff Master'!$A$5:$A$24,0)),"")</f>
        <v>Nursing</v>
      </c>
      <c r="F552" s="16" t="str">
        <f aca="false">IFERROR(INDEX('Staff Master'!$E$5:$E$24,MATCH(C552,'Staff Master'!$A$5:$A$24,0)),"")</f>
        <v>Nurse</v>
      </c>
      <c r="G552" s="10" t="s">
        <v>90</v>
      </c>
      <c r="H552" s="17" t="n">
        <f aca="false">IFERROR(INDEX('Shift Master'!$C$5:$C$16,MATCH(G552,'Shift Master'!$A$5:$A$16,0)),"")</f>
        <v>0.375</v>
      </c>
      <c r="I552" s="17" t="n">
        <f aca="false">IFERROR(INDEX('Shift Master'!$D$5:$D$16,MATCH(G552,'Shift Master'!$A$5:$A$16,0)),"")</f>
        <v>0.75</v>
      </c>
      <c r="J552" s="16" t="n">
        <f aca="false">IFERROR(INDEX('Shift Master'!$E$5:$E$16,MATCH(G552,'Shift Master'!$A$5:$A$16,0)),"")</f>
        <v>60</v>
      </c>
      <c r="K552" s="16" t="n">
        <f aca="false">IFERROR(INDEX('Shift Master'!$G$5:$G$16,MATCH(G552,'Shift Master'!$A$5:$A$16,0)),0)</f>
        <v>8</v>
      </c>
      <c r="L552" s="16" t="s">
        <v>228</v>
      </c>
      <c r="M552" s="16" t="s">
        <v>229</v>
      </c>
      <c r="N552" s="16" t="str">
        <f aca="false">IF(COUNTIFS('Staffing Coverage'!$A$5:$A$12,E552,'Staffing Coverage'!$B$5:$B$12,G552)=0,"",IF(COUNTIFS($A$5:$A$10004,A552,$E$5:$E$10004,E552,$G$5:$G$10004,G552)&lt;INDEX('Staffing Coverage'!$C$5:$C$12,MATCH(1,('Staffing Coverage'!$A$5:$A$12=E552)*('Staffing Coverage'!$B$5:$B$12=G552),0)),"SHORT","OK"))</f>
        <v>OK</v>
      </c>
    </row>
    <row r="553" customFormat="false" ht="15" hidden="false" customHeight="false" outlineLevel="0" collapsed="false">
      <c r="A553" s="15" t="n">
        <v>46323</v>
      </c>
      <c r="B553" s="16" t="str">
        <f aca="false">TEXT(A553,"ddd")</f>
        <v>Wed</v>
      </c>
      <c r="C553" s="10" t="s">
        <v>170</v>
      </c>
      <c r="D553" s="16" t="str">
        <f aca="false">IFERROR(INDEX('Staff Master'!$B$5:$B$24,MATCH(C553,'Staff Master'!$A$5:$A$24,0)),"")</f>
        <v>Maria Santos</v>
      </c>
      <c r="E553" s="16" t="str">
        <f aca="false">IFERROR(INDEX('Staff Master'!$D$5:$D$24,MATCH(C553,'Staff Master'!$A$5:$A$24,0)),"")</f>
        <v>Nursing</v>
      </c>
      <c r="F553" s="16" t="str">
        <f aca="false">IFERROR(INDEX('Staff Master'!$E$5:$E$24,MATCH(C553,'Staff Master'!$A$5:$A$24,0)),"")</f>
        <v>Nurse</v>
      </c>
      <c r="G553" s="10" t="s">
        <v>94</v>
      </c>
      <c r="H553" s="17" t="n">
        <f aca="false">IFERROR(INDEX('Shift Master'!$C$5:$C$16,MATCH(G553,'Shift Master'!$A$5:$A$16,0)),"")</f>
        <v>0.541666666666667</v>
      </c>
      <c r="I553" s="17" t="n">
        <f aca="false">IFERROR(INDEX('Shift Master'!$D$5:$D$16,MATCH(G553,'Shift Master'!$A$5:$A$16,0)),"")</f>
        <v>0.916666666666667</v>
      </c>
      <c r="J553" s="16" t="n">
        <f aca="false">IFERROR(INDEX('Shift Master'!$E$5:$E$16,MATCH(G553,'Shift Master'!$A$5:$A$16,0)),"")</f>
        <v>60</v>
      </c>
      <c r="K553" s="16" t="n">
        <f aca="false">IFERROR(INDEX('Shift Master'!$G$5:$G$16,MATCH(G553,'Shift Master'!$A$5:$A$16,0)),0)</f>
        <v>8</v>
      </c>
      <c r="L553" s="16" t="s">
        <v>228</v>
      </c>
      <c r="M553" s="16" t="s">
        <v>229</v>
      </c>
      <c r="N553" s="16" t="str">
        <f aca="false">IF(COUNTIFS('Staffing Coverage'!$A$5:$A$12,E553,'Staffing Coverage'!$B$5:$B$12,G553)=0,"",IF(COUNTIFS($A$5:$A$10004,A553,$E$5:$E$10004,E553,$G$5:$G$10004,G553)&lt;INDEX('Staffing Coverage'!$C$5:$C$12,MATCH(1,('Staffing Coverage'!$A$5:$A$12=E553)*('Staffing Coverage'!$B$5:$B$12=G553),0)),"SHORT","OK"))</f>
        <v/>
      </c>
    </row>
    <row r="554" customFormat="false" ht="15" hidden="false" customHeight="false" outlineLevel="0" collapsed="false">
      <c r="A554" s="15" t="n">
        <v>46323</v>
      </c>
      <c r="B554" s="16" t="str">
        <f aca="false">TEXT(A554,"ddd")</f>
        <v>Wed</v>
      </c>
      <c r="C554" s="10" t="s">
        <v>174</v>
      </c>
      <c r="D554" s="16" t="str">
        <f aca="false">IFERROR(INDEX('Staff Master'!$B$5:$B$24,MATCH(C554,'Staff Master'!$A$5:$A$24,0)),"")</f>
        <v>Aisha Al Shamsi</v>
      </c>
      <c r="E554" s="16" t="str">
        <f aca="false">IFERROR(INDEX('Staff Master'!$D$5:$D$24,MATCH(C554,'Staff Master'!$A$5:$A$24,0)),"")</f>
        <v>Reception</v>
      </c>
      <c r="F554" s="16" t="str">
        <f aca="false">IFERROR(INDEX('Staff Master'!$E$5:$E$24,MATCH(C554,'Staff Master'!$A$5:$A$24,0)),"")</f>
        <v>Receptionist</v>
      </c>
      <c r="G554" s="10" t="s">
        <v>87</v>
      </c>
      <c r="H554" s="17" t="n">
        <f aca="false">IFERROR(INDEX('Shift Master'!$C$5:$C$16,MATCH(G554,'Shift Master'!$A$5:$A$16,0)),"")</f>
        <v>0.333333333333333</v>
      </c>
      <c r="I554" s="17" t="n">
        <f aca="false">IFERROR(INDEX('Shift Master'!$D$5:$D$16,MATCH(G554,'Shift Master'!$A$5:$A$16,0)),"")</f>
        <v>0.708333333333333</v>
      </c>
      <c r="J554" s="16" t="n">
        <f aca="false">IFERROR(INDEX('Shift Master'!$E$5:$E$16,MATCH(G554,'Shift Master'!$A$5:$A$16,0)),"")</f>
        <v>60</v>
      </c>
      <c r="K554" s="16" t="n">
        <f aca="false">IFERROR(INDEX('Shift Master'!$G$5:$G$16,MATCH(G554,'Shift Master'!$A$5:$A$16,0)),0)</f>
        <v>8</v>
      </c>
      <c r="L554" s="16" t="s">
        <v>228</v>
      </c>
      <c r="M554" s="16" t="s">
        <v>229</v>
      </c>
      <c r="N554" s="16" t="str">
        <f aca="false">IF(COUNTIFS('Staffing Coverage'!$A$5:$A$12,E554,'Staffing Coverage'!$B$5:$B$12,G554)=0,"",IF(COUNTIFS($A$5:$A$10004,A554,$E$5:$E$10004,E554,$G$5:$G$10004,G554)&lt;INDEX('Staffing Coverage'!$C$5:$C$12,MATCH(1,('Staffing Coverage'!$A$5:$A$12=E554)*('Staffing Coverage'!$B$5:$B$12=G554),0)),"SHORT","OK"))</f>
        <v>SHORT</v>
      </c>
    </row>
    <row r="555" customFormat="false" ht="15" hidden="false" customHeight="false" outlineLevel="0" collapsed="false">
      <c r="A555" s="15" t="n">
        <v>46323</v>
      </c>
      <c r="B555" s="16" t="str">
        <f aca="false">TEXT(A555,"ddd")</f>
        <v>Wed</v>
      </c>
      <c r="C555" s="10" t="s">
        <v>179</v>
      </c>
      <c r="D555" s="16" t="str">
        <f aca="false">IFERROR(INDEX('Staff Master'!$B$5:$B$24,MATCH(C555,'Staff Master'!$A$5:$A$24,0)),"")</f>
        <v>John Dsouza</v>
      </c>
      <c r="E555" s="16" t="str">
        <f aca="false">IFERROR(INDEX('Staff Master'!$D$5:$D$24,MATCH(C555,'Staff Master'!$A$5:$A$24,0)),"")</f>
        <v>Reception</v>
      </c>
      <c r="F555" s="16" t="str">
        <f aca="false">IFERROR(INDEX('Staff Master'!$E$5:$E$24,MATCH(C555,'Staff Master'!$A$5:$A$24,0)),"")</f>
        <v>Receptionist</v>
      </c>
      <c r="G555" s="10" t="s">
        <v>90</v>
      </c>
      <c r="H555" s="17" t="n">
        <f aca="false">IFERROR(INDEX('Shift Master'!$C$5:$C$16,MATCH(G555,'Shift Master'!$A$5:$A$16,0)),"")</f>
        <v>0.375</v>
      </c>
      <c r="I555" s="17" t="n">
        <f aca="false">IFERROR(INDEX('Shift Master'!$D$5:$D$16,MATCH(G555,'Shift Master'!$A$5:$A$16,0)),"")</f>
        <v>0.75</v>
      </c>
      <c r="J555" s="16" t="n">
        <f aca="false">IFERROR(INDEX('Shift Master'!$E$5:$E$16,MATCH(G555,'Shift Master'!$A$5:$A$16,0)),"")</f>
        <v>60</v>
      </c>
      <c r="K555" s="16" t="n">
        <f aca="false">IFERROR(INDEX('Shift Master'!$G$5:$G$16,MATCH(G555,'Shift Master'!$A$5:$A$16,0)),0)</f>
        <v>8</v>
      </c>
      <c r="L555" s="16" t="s">
        <v>228</v>
      </c>
      <c r="M555" s="16" t="s">
        <v>229</v>
      </c>
      <c r="N555" s="16" t="str">
        <f aca="false">IF(COUNTIFS('Staffing Coverage'!$A$5:$A$12,E555,'Staffing Coverage'!$B$5:$B$12,G555)=0,"",IF(COUNTIFS($A$5:$A$10004,A555,$E$5:$E$10004,E555,$G$5:$G$10004,G555)&lt;INDEX('Staffing Coverage'!$C$5:$C$12,MATCH(1,('Staffing Coverage'!$A$5:$A$12=E555)*('Staffing Coverage'!$B$5:$B$12=G555),0)),"SHORT","OK"))</f>
        <v>SHORT</v>
      </c>
    </row>
    <row r="556" customFormat="false" ht="15" hidden="false" customHeight="false" outlineLevel="0" collapsed="false">
      <c r="A556" s="15" t="n">
        <v>46323</v>
      </c>
      <c r="B556" s="16" t="str">
        <f aca="false">TEXT(A556,"ddd")</f>
        <v>Wed</v>
      </c>
      <c r="C556" s="10" t="s">
        <v>184</v>
      </c>
      <c r="D556" s="16" t="str">
        <f aca="false">IFERROR(INDEX('Staff Master'!$B$5:$B$24,MATCH(C556,'Staff Master'!$A$5:$A$24,0)),"")</f>
        <v>Fatima Zahra</v>
      </c>
      <c r="E556" s="16" t="str">
        <f aca="false">IFERROR(INDEX('Staff Master'!$D$5:$D$24,MATCH(C556,'Staff Master'!$A$5:$A$24,0)),"")</f>
        <v>Reception</v>
      </c>
      <c r="F556" s="16" t="str">
        <f aca="false">IFERROR(INDEX('Staff Master'!$E$5:$E$24,MATCH(C556,'Staff Master'!$A$5:$A$24,0)),"")</f>
        <v>Receptionist</v>
      </c>
      <c r="G556" s="10" t="s">
        <v>94</v>
      </c>
      <c r="H556" s="17" t="n">
        <f aca="false">IFERROR(INDEX('Shift Master'!$C$5:$C$16,MATCH(G556,'Shift Master'!$A$5:$A$16,0)),"")</f>
        <v>0.541666666666667</v>
      </c>
      <c r="I556" s="17" t="n">
        <f aca="false">IFERROR(INDEX('Shift Master'!$D$5:$D$16,MATCH(G556,'Shift Master'!$A$5:$A$16,0)),"")</f>
        <v>0.916666666666667</v>
      </c>
      <c r="J556" s="16" t="n">
        <f aca="false">IFERROR(INDEX('Shift Master'!$E$5:$E$16,MATCH(G556,'Shift Master'!$A$5:$A$16,0)),"")</f>
        <v>60</v>
      </c>
      <c r="K556" s="16" t="n">
        <f aca="false">IFERROR(INDEX('Shift Master'!$G$5:$G$16,MATCH(G556,'Shift Master'!$A$5:$A$16,0)),0)</f>
        <v>8</v>
      </c>
      <c r="L556" s="16" t="s">
        <v>228</v>
      </c>
      <c r="M556" s="16" t="s">
        <v>229</v>
      </c>
      <c r="N556" s="16" t="str">
        <f aca="false">IF(COUNTIFS('Staffing Coverage'!$A$5:$A$12,E556,'Staffing Coverage'!$B$5:$B$12,G556)=0,"",IF(COUNTIFS($A$5:$A$10004,A556,$E$5:$E$10004,E556,$G$5:$G$10004,G556)&lt;INDEX('Staffing Coverage'!$C$5:$C$12,MATCH(1,('Staffing Coverage'!$A$5:$A$12=E556)*('Staffing Coverage'!$B$5:$B$12=G556),0)),"SHORT","OK"))</f>
        <v>OK</v>
      </c>
    </row>
    <row r="557" customFormat="false" ht="15" hidden="false" customHeight="false" outlineLevel="0" collapsed="false">
      <c r="A557" s="15" t="n">
        <v>46323</v>
      </c>
      <c r="B557" s="16" t="str">
        <f aca="false">TEXT(A557,"ddd")</f>
        <v>Wed</v>
      </c>
      <c r="C557" s="10" t="s">
        <v>188</v>
      </c>
      <c r="D557" s="16" t="str">
        <f aca="false">IFERROR(INDEX('Staff Master'!$B$5:$B$24,MATCH(C557,'Staff Master'!$A$5:$A$24,0)),"")</f>
        <v>Ana Reyes</v>
      </c>
      <c r="E557" s="16" t="str">
        <f aca="false">IFERROR(INDEX('Staff Master'!$D$5:$D$24,MATCH(C557,'Staff Master'!$A$5:$A$24,0)),"")</f>
        <v>Dental</v>
      </c>
      <c r="F557" s="16" t="str">
        <f aca="false">IFERROR(INDEX('Staff Master'!$E$5:$E$24,MATCH(C557,'Staff Master'!$A$5:$A$24,0)),"")</f>
        <v>Dental Assistant</v>
      </c>
      <c r="G557" s="10" t="s">
        <v>87</v>
      </c>
      <c r="H557" s="17" t="n">
        <f aca="false">IFERROR(INDEX('Shift Master'!$C$5:$C$16,MATCH(G557,'Shift Master'!$A$5:$A$16,0)),"")</f>
        <v>0.333333333333333</v>
      </c>
      <c r="I557" s="17" t="n">
        <f aca="false">IFERROR(INDEX('Shift Master'!$D$5:$D$16,MATCH(G557,'Shift Master'!$A$5:$A$16,0)),"")</f>
        <v>0.708333333333333</v>
      </c>
      <c r="J557" s="16" t="n">
        <f aca="false">IFERROR(INDEX('Shift Master'!$E$5:$E$16,MATCH(G557,'Shift Master'!$A$5:$A$16,0)),"")</f>
        <v>60</v>
      </c>
      <c r="K557" s="16" t="n">
        <f aca="false">IFERROR(INDEX('Shift Master'!$G$5:$G$16,MATCH(G557,'Shift Master'!$A$5:$A$16,0)),0)</f>
        <v>8</v>
      </c>
      <c r="L557" s="16" t="s">
        <v>228</v>
      </c>
      <c r="M557" s="16" t="s">
        <v>229</v>
      </c>
      <c r="N557" s="16" t="str">
        <f aca="false">IF(COUNTIFS('Staffing Coverage'!$A$5:$A$12,E557,'Staffing Coverage'!$B$5:$B$12,G557)=0,"",IF(COUNTIFS($A$5:$A$10004,A557,$E$5:$E$10004,E557,$G$5:$G$10004,G557)&lt;INDEX('Staffing Coverage'!$C$5:$C$12,MATCH(1,('Staffing Coverage'!$A$5:$A$12=E557)*('Staffing Coverage'!$B$5:$B$12=G557),0)),"SHORT","OK"))</f>
        <v>OK</v>
      </c>
    </row>
    <row r="558" customFormat="false" ht="15" hidden="false" customHeight="false" outlineLevel="0" collapsed="false">
      <c r="A558" s="15" t="n">
        <v>46323</v>
      </c>
      <c r="B558" s="16" t="str">
        <f aca="false">TEXT(A558,"ddd")</f>
        <v>Wed</v>
      </c>
      <c r="C558" s="10" t="s">
        <v>192</v>
      </c>
      <c r="D558" s="16" t="str">
        <f aca="false">IFERROR(INDEX('Staff Master'!$B$5:$B$24,MATCH(C558,'Staff Master'!$A$5:$A$24,0)),"")</f>
        <v>Noor Hassan</v>
      </c>
      <c r="E558" s="16" t="str">
        <f aca="false">IFERROR(INDEX('Staff Master'!$D$5:$D$24,MATCH(C558,'Staff Master'!$A$5:$A$24,0)),"")</f>
        <v>Dental</v>
      </c>
      <c r="F558" s="16" t="str">
        <f aca="false">IFERROR(INDEX('Staff Master'!$E$5:$E$24,MATCH(C558,'Staff Master'!$A$5:$A$24,0)),"")</f>
        <v>Dental Assistant</v>
      </c>
      <c r="G558" s="10" t="s">
        <v>90</v>
      </c>
      <c r="H558" s="17" t="n">
        <f aca="false">IFERROR(INDEX('Shift Master'!$C$5:$C$16,MATCH(G558,'Shift Master'!$A$5:$A$16,0)),"")</f>
        <v>0.375</v>
      </c>
      <c r="I558" s="17" t="n">
        <f aca="false">IFERROR(INDEX('Shift Master'!$D$5:$D$16,MATCH(G558,'Shift Master'!$A$5:$A$16,0)),"")</f>
        <v>0.75</v>
      </c>
      <c r="J558" s="16" t="n">
        <f aca="false">IFERROR(INDEX('Shift Master'!$E$5:$E$16,MATCH(G558,'Shift Master'!$A$5:$A$16,0)),"")</f>
        <v>60</v>
      </c>
      <c r="K558" s="16" t="n">
        <f aca="false">IFERROR(INDEX('Shift Master'!$G$5:$G$16,MATCH(G558,'Shift Master'!$A$5:$A$16,0)),0)</f>
        <v>8</v>
      </c>
      <c r="L558" s="16" t="s">
        <v>228</v>
      </c>
      <c r="M558" s="16" t="s">
        <v>229</v>
      </c>
      <c r="N558" s="16" t="str">
        <f aca="false">IF(COUNTIFS('Staffing Coverage'!$A$5:$A$12,E558,'Staffing Coverage'!$B$5:$B$12,G558)=0,"",IF(COUNTIFS($A$5:$A$10004,A558,$E$5:$E$10004,E558,$G$5:$G$10004,G558)&lt;INDEX('Staffing Coverage'!$C$5:$C$12,MATCH(1,('Staffing Coverage'!$A$5:$A$12=E558)*('Staffing Coverage'!$B$5:$B$12=G558),0)),"SHORT","OK"))</f>
        <v/>
      </c>
    </row>
    <row r="559" customFormat="false" ht="15" hidden="false" customHeight="false" outlineLevel="0" collapsed="false">
      <c r="A559" s="15" t="n">
        <v>46323</v>
      </c>
      <c r="B559" s="16" t="str">
        <f aca="false">TEXT(A559,"ddd")</f>
        <v>Wed</v>
      </c>
      <c r="C559" s="10" t="s">
        <v>196</v>
      </c>
      <c r="D559" s="16" t="str">
        <f aca="false">IFERROR(INDEX('Staff Master'!$B$5:$B$24,MATCH(C559,'Staff Master'!$A$5:$A$24,0)),"")</f>
        <v>Karan Mehta</v>
      </c>
      <c r="E559" s="16" t="str">
        <f aca="false">IFERROR(INDEX('Staff Master'!$D$5:$D$24,MATCH(C559,'Staff Master'!$A$5:$A$24,0)),"")</f>
        <v>Laser</v>
      </c>
      <c r="F559" s="16" t="str">
        <f aca="false">IFERROR(INDEX('Staff Master'!$E$5:$E$24,MATCH(C559,'Staff Master'!$A$5:$A$24,0)),"")</f>
        <v>Laser Technician</v>
      </c>
      <c r="G559" s="10" t="s">
        <v>90</v>
      </c>
      <c r="H559" s="17" t="n">
        <f aca="false">IFERROR(INDEX('Shift Master'!$C$5:$C$16,MATCH(G559,'Shift Master'!$A$5:$A$16,0)),"")</f>
        <v>0.375</v>
      </c>
      <c r="I559" s="17" t="n">
        <f aca="false">IFERROR(INDEX('Shift Master'!$D$5:$D$16,MATCH(G559,'Shift Master'!$A$5:$A$16,0)),"")</f>
        <v>0.75</v>
      </c>
      <c r="J559" s="16" t="n">
        <f aca="false">IFERROR(INDEX('Shift Master'!$E$5:$E$16,MATCH(G559,'Shift Master'!$A$5:$A$16,0)),"")</f>
        <v>60</v>
      </c>
      <c r="K559" s="16" t="n">
        <f aca="false">IFERROR(INDEX('Shift Master'!$G$5:$G$16,MATCH(G559,'Shift Master'!$A$5:$A$16,0)),0)</f>
        <v>8</v>
      </c>
      <c r="L559" s="16" t="s">
        <v>228</v>
      </c>
      <c r="M559" s="16" t="s">
        <v>229</v>
      </c>
      <c r="N559" s="16" t="str">
        <f aca="false">IF(COUNTIFS('Staffing Coverage'!$A$5:$A$12,E559,'Staffing Coverage'!$B$5:$B$12,G559)=0,"",IF(COUNTIFS($A$5:$A$10004,A559,$E$5:$E$10004,E559,$G$5:$G$10004,G559)&lt;INDEX('Staffing Coverage'!$C$5:$C$12,MATCH(1,('Staffing Coverage'!$A$5:$A$12=E559)*('Staffing Coverage'!$B$5:$B$12=G559),0)),"SHORT","OK"))</f>
        <v/>
      </c>
    </row>
    <row r="560" customFormat="false" ht="15" hidden="false" customHeight="false" outlineLevel="0" collapsed="false">
      <c r="A560" s="15" t="n">
        <v>46323</v>
      </c>
      <c r="B560" s="16" t="str">
        <f aca="false">TEXT(A560,"ddd")</f>
        <v>Wed</v>
      </c>
      <c r="C560" s="10" t="s">
        <v>200</v>
      </c>
      <c r="D560" s="16" t="str">
        <f aca="false">IFERROR(INDEX('Staff Master'!$B$5:$B$24,MATCH(C560,'Staff Master'!$A$5:$A$24,0)),"")</f>
        <v>Imran Sheikh</v>
      </c>
      <c r="E560" s="16" t="str">
        <f aca="false">IFERROR(INDEX('Staff Master'!$D$5:$D$24,MATCH(C560,'Staff Master'!$A$5:$A$24,0)),"")</f>
        <v>Dental Laboratory</v>
      </c>
      <c r="F560" s="16" t="str">
        <f aca="false">IFERROR(INDEX('Staff Master'!$E$5:$E$24,MATCH(C560,'Staff Master'!$A$5:$A$24,0)),"")</f>
        <v>Dental Technician</v>
      </c>
      <c r="G560" s="10" t="s">
        <v>87</v>
      </c>
      <c r="H560" s="17" t="n">
        <f aca="false">IFERROR(INDEX('Shift Master'!$C$5:$C$16,MATCH(G560,'Shift Master'!$A$5:$A$16,0)),"")</f>
        <v>0.333333333333333</v>
      </c>
      <c r="I560" s="17" t="n">
        <f aca="false">IFERROR(INDEX('Shift Master'!$D$5:$D$16,MATCH(G560,'Shift Master'!$A$5:$A$16,0)),"")</f>
        <v>0.708333333333333</v>
      </c>
      <c r="J560" s="16" t="n">
        <f aca="false">IFERROR(INDEX('Shift Master'!$E$5:$E$16,MATCH(G560,'Shift Master'!$A$5:$A$16,0)),"")</f>
        <v>60</v>
      </c>
      <c r="K560" s="16" t="n">
        <f aca="false">IFERROR(INDEX('Shift Master'!$G$5:$G$16,MATCH(G560,'Shift Master'!$A$5:$A$16,0)),0)</f>
        <v>8</v>
      </c>
      <c r="L560" s="16" t="s">
        <v>228</v>
      </c>
      <c r="M560" s="16" t="s">
        <v>229</v>
      </c>
      <c r="N560" s="16" t="str">
        <f aca="false">IF(COUNTIFS('Staffing Coverage'!$A$5:$A$12,E560,'Staffing Coverage'!$B$5:$B$12,G560)=0,"",IF(COUNTIFS($A$5:$A$10004,A560,$E$5:$E$10004,E560,$G$5:$G$10004,G560)&lt;INDEX('Staffing Coverage'!$C$5:$C$12,MATCH(1,('Staffing Coverage'!$A$5:$A$12=E560)*('Staffing Coverage'!$B$5:$B$12=G560),0)),"SHORT","OK"))</f>
        <v/>
      </c>
    </row>
    <row r="561" customFormat="false" ht="15" hidden="false" customHeight="false" outlineLevel="0" collapsed="false">
      <c r="A561" s="15" t="n">
        <v>46323</v>
      </c>
      <c r="B561" s="16" t="str">
        <f aca="false">TEXT(A561,"ddd")</f>
        <v>Wed</v>
      </c>
      <c r="C561" s="10" t="s">
        <v>204</v>
      </c>
      <c r="D561" s="16" t="str">
        <f aca="false">IFERROR(INDEX('Staff Master'!$B$5:$B$24,MATCH(C561,'Staff Master'!$A$5:$A$24,0)),"")</f>
        <v>Josephine Cruz</v>
      </c>
      <c r="E561" s="16" t="str">
        <f aca="false">IFERROR(INDEX('Staff Master'!$D$5:$D$24,MATCH(C561,'Staff Master'!$A$5:$A$24,0)),"")</f>
        <v>CSSD</v>
      </c>
      <c r="F561" s="16" t="str">
        <f aca="false">IFERROR(INDEX('Staff Master'!$E$5:$E$24,MATCH(C561,'Staff Master'!$A$5:$A$24,0)),"")</f>
        <v>CSSD Technician</v>
      </c>
      <c r="G561" s="10" t="s">
        <v>87</v>
      </c>
      <c r="H561" s="17" t="n">
        <f aca="false">IFERROR(INDEX('Shift Master'!$C$5:$C$16,MATCH(G561,'Shift Master'!$A$5:$A$16,0)),"")</f>
        <v>0.333333333333333</v>
      </c>
      <c r="I561" s="17" t="n">
        <f aca="false">IFERROR(INDEX('Shift Master'!$D$5:$D$16,MATCH(G561,'Shift Master'!$A$5:$A$16,0)),"")</f>
        <v>0.708333333333333</v>
      </c>
      <c r="J561" s="16" t="n">
        <f aca="false">IFERROR(INDEX('Shift Master'!$E$5:$E$16,MATCH(G561,'Shift Master'!$A$5:$A$16,0)),"")</f>
        <v>60</v>
      </c>
      <c r="K561" s="16" t="n">
        <f aca="false">IFERROR(INDEX('Shift Master'!$G$5:$G$16,MATCH(G561,'Shift Master'!$A$5:$A$16,0)),0)</f>
        <v>8</v>
      </c>
      <c r="L561" s="16" t="s">
        <v>228</v>
      </c>
      <c r="M561" s="16" t="s">
        <v>229</v>
      </c>
      <c r="N561" s="16" t="str">
        <f aca="false">IF(COUNTIFS('Staffing Coverage'!$A$5:$A$12,E561,'Staffing Coverage'!$B$5:$B$12,G561)=0,"",IF(COUNTIFS($A$5:$A$10004,A561,$E$5:$E$10004,E561,$G$5:$G$10004,G561)&lt;INDEX('Staffing Coverage'!$C$5:$C$12,MATCH(1,('Staffing Coverage'!$A$5:$A$12=E561)*('Staffing Coverage'!$B$5:$B$12=G561),0)),"SHORT","OK"))</f>
        <v>OK</v>
      </c>
    </row>
    <row r="562" customFormat="false" ht="15" hidden="false" customHeight="false" outlineLevel="0" collapsed="false">
      <c r="A562" s="15" t="n">
        <v>46323</v>
      </c>
      <c r="B562" s="16" t="str">
        <f aca="false">TEXT(A562,"ddd")</f>
        <v>Wed</v>
      </c>
      <c r="C562" s="10" t="s">
        <v>208</v>
      </c>
      <c r="D562" s="16" t="str">
        <f aca="false">IFERROR(INDEX('Staff Master'!$B$5:$B$24,MATCH(C562,'Staff Master'!$A$5:$A$24,0)),"")</f>
        <v>Rosalyn Tan</v>
      </c>
      <c r="E562" s="16" t="str">
        <f aca="false">IFERROR(INDEX('Staff Master'!$D$5:$D$24,MATCH(C562,'Staff Master'!$A$5:$A$24,0)),"")</f>
        <v>Cleaning</v>
      </c>
      <c r="F562" s="16" t="str">
        <f aca="false">IFERROR(INDEX('Staff Master'!$E$5:$E$24,MATCH(C562,'Staff Master'!$A$5:$A$24,0)),"")</f>
        <v>Cleaner</v>
      </c>
      <c r="G562" s="10" t="s">
        <v>87</v>
      </c>
      <c r="H562" s="17" t="n">
        <f aca="false">IFERROR(INDEX('Shift Master'!$C$5:$C$16,MATCH(G562,'Shift Master'!$A$5:$A$16,0)),"")</f>
        <v>0.333333333333333</v>
      </c>
      <c r="I562" s="17" t="n">
        <f aca="false">IFERROR(INDEX('Shift Master'!$D$5:$D$16,MATCH(G562,'Shift Master'!$A$5:$A$16,0)),"")</f>
        <v>0.708333333333333</v>
      </c>
      <c r="J562" s="16" t="n">
        <f aca="false">IFERROR(INDEX('Shift Master'!$E$5:$E$16,MATCH(G562,'Shift Master'!$A$5:$A$16,0)),"")</f>
        <v>60</v>
      </c>
      <c r="K562" s="16" t="n">
        <f aca="false">IFERROR(INDEX('Shift Master'!$G$5:$G$16,MATCH(G562,'Shift Master'!$A$5:$A$16,0)),0)</f>
        <v>8</v>
      </c>
      <c r="L562" s="16" t="s">
        <v>228</v>
      </c>
      <c r="M562" s="16" t="s">
        <v>229</v>
      </c>
      <c r="N562" s="16" t="str">
        <f aca="false">IF(COUNTIFS('Staffing Coverage'!$A$5:$A$12,E562,'Staffing Coverage'!$B$5:$B$12,G562)=0,"",IF(COUNTIFS($A$5:$A$10004,A562,$E$5:$E$10004,E562,$G$5:$G$10004,G562)&lt;INDEX('Staffing Coverage'!$C$5:$C$12,MATCH(1,('Staffing Coverage'!$A$5:$A$12=E562)*('Staffing Coverage'!$B$5:$B$12=G562),0)),"SHORT","OK"))</f>
        <v>OK</v>
      </c>
    </row>
    <row r="563" customFormat="false" ht="15" hidden="false" customHeight="false" outlineLevel="0" collapsed="false">
      <c r="A563" s="15" t="n">
        <v>46323</v>
      </c>
      <c r="B563" s="16" t="str">
        <f aca="false">TEXT(A563,"ddd")</f>
        <v>Wed</v>
      </c>
      <c r="C563" s="10" t="s">
        <v>212</v>
      </c>
      <c r="D563" s="16" t="str">
        <f aca="false">IFERROR(INDEX('Staff Master'!$B$5:$B$24,MATCH(C563,'Staff Master'!$A$5:$A$24,0)),"")</f>
        <v>Hassan Baig</v>
      </c>
      <c r="E563" s="16" t="str">
        <f aca="false">IFERROR(INDEX('Staff Master'!$D$5:$D$24,MATCH(C563,'Staff Master'!$A$5:$A$24,0)),"")</f>
        <v>Facilities</v>
      </c>
      <c r="F563" s="16" t="str">
        <f aca="false">IFERROR(INDEX('Staff Master'!$E$5:$E$24,MATCH(C563,'Staff Master'!$A$5:$A$24,0)),"")</f>
        <v>Facility Manager</v>
      </c>
      <c r="G563" s="10" t="s">
        <v>90</v>
      </c>
      <c r="H563" s="17" t="n">
        <f aca="false">IFERROR(INDEX('Shift Master'!$C$5:$C$16,MATCH(G563,'Shift Master'!$A$5:$A$16,0)),"")</f>
        <v>0.375</v>
      </c>
      <c r="I563" s="17" t="n">
        <f aca="false">IFERROR(INDEX('Shift Master'!$D$5:$D$16,MATCH(G563,'Shift Master'!$A$5:$A$16,0)),"")</f>
        <v>0.75</v>
      </c>
      <c r="J563" s="16" t="n">
        <f aca="false">IFERROR(INDEX('Shift Master'!$E$5:$E$16,MATCH(G563,'Shift Master'!$A$5:$A$16,0)),"")</f>
        <v>60</v>
      </c>
      <c r="K563" s="16" t="n">
        <f aca="false">IFERROR(INDEX('Shift Master'!$G$5:$G$16,MATCH(G563,'Shift Master'!$A$5:$A$16,0)),0)</f>
        <v>8</v>
      </c>
      <c r="L563" s="16" t="s">
        <v>228</v>
      </c>
      <c r="M563" s="16" t="s">
        <v>229</v>
      </c>
      <c r="N563" s="16" t="str">
        <f aca="false">IF(COUNTIFS('Staffing Coverage'!$A$5:$A$12,E563,'Staffing Coverage'!$B$5:$B$12,G563)=0,"",IF(COUNTIFS($A$5:$A$10004,A563,$E$5:$E$10004,E563,$G$5:$G$10004,G563)&lt;INDEX('Staffing Coverage'!$C$5:$C$12,MATCH(1,('Staffing Coverage'!$A$5:$A$12=E563)*('Staffing Coverage'!$B$5:$B$12=G563),0)),"SHORT","OK"))</f>
        <v/>
      </c>
    </row>
    <row r="564" customFormat="false" ht="15" hidden="false" customHeight="false" outlineLevel="0" collapsed="false">
      <c r="A564" s="15" t="n">
        <v>46323</v>
      </c>
      <c r="B564" s="16" t="str">
        <f aca="false">TEXT(A564,"ddd")</f>
        <v>Wed</v>
      </c>
      <c r="C564" s="10" t="s">
        <v>178</v>
      </c>
      <c r="D564" s="16" t="str">
        <f aca="false">IFERROR(INDEX('Staff Master'!$B$5:$B$24,MATCH(C564,'Staff Master'!$A$5:$A$24,0)),"")</f>
        <v>Meera Pillai</v>
      </c>
      <c r="E564" s="16" t="str">
        <f aca="false">IFERROR(INDEX('Staff Master'!$D$5:$D$24,MATCH(C564,'Staff Master'!$A$5:$A$24,0)),"")</f>
        <v>HR</v>
      </c>
      <c r="F564" s="16" t="str">
        <f aca="false">IFERROR(INDEX('Staff Master'!$E$5:$E$24,MATCH(C564,'Staff Master'!$A$5:$A$24,0)),"")</f>
        <v>HR Executive</v>
      </c>
      <c r="G564" s="10" t="s">
        <v>90</v>
      </c>
      <c r="H564" s="17" t="n">
        <f aca="false">IFERROR(INDEX('Shift Master'!$C$5:$C$16,MATCH(G564,'Shift Master'!$A$5:$A$16,0)),"")</f>
        <v>0.375</v>
      </c>
      <c r="I564" s="17" t="n">
        <f aca="false">IFERROR(INDEX('Shift Master'!$D$5:$D$16,MATCH(G564,'Shift Master'!$A$5:$A$16,0)),"")</f>
        <v>0.75</v>
      </c>
      <c r="J564" s="16" t="n">
        <f aca="false">IFERROR(INDEX('Shift Master'!$E$5:$E$16,MATCH(G564,'Shift Master'!$A$5:$A$16,0)),"")</f>
        <v>60</v>
      </c>
      <c r="K564" s="16" t="n">
        <f aca="false">IFERROR(INDEX('Shift Master'!$G$5:$G$16,MATCH(G564,'Shift Master'!$A$5:$A$16,0)),0)</f>
        <v>8</v>
      </c>
      <c r="L564" s="16" t="s">
        <v>228</v>
      </c>
      <c r="M564" s="16" t="s">
        <v>229</v>
      </c>
      <c r="N564" s="16" t="str">
        <f aca="false">IF(COUNTIFS('Staffing Coverage'!$A$5:$A$12,E564,'Staffing Coverage'!$B$5:$B$12,G564)=0,"",IF(COUNTIFS($A$5:$A$10004,A564,$E$5:$E$10004,E564,$G$5:$G$10004,G564)&lt;INDEX('Staffing Coverage'!$C$5:$C$12,MATCH(1,('Staffing Coverage'!$A$5:$A$12=E564)*('Staffing Coverage'!$B$5:$B$12=G564),0)),"SHORT","OK"))</f>
        <v/>
      </c>
    </row>
    <row r="565" customFormat="false" ht="15" hidden="false" customHeight="false" outlineLevel="0" collapsed="false">
      <c r="A565" s="15" t="n">
        <v>46324</v>
      </c>
      <c r="B565" s="16" t="str">
        <f aca="false">TEXT(A565,"ddd")</f>
        <v>Thu</v>
      </c>
      <c r="C565" s="10" t="s">
        <v>128</v>
      </c>
      <c r="D565" s="16" t="str">
        <f aca="false">IFERROR(INDEX('Staff Master'!$B$5:$B$24,MATCH(C565,'Staff Master'!$A$5:$A$24,0)),"")</f>
        <v>Rashid Al Nuaimi</v>
      </c>
      <c r="E565" s="16" t="str">
        <f aca="false">IFERROR(INDEX('Staff Master'!$D$5:$D$24,MATCH(C565,'Staff Master'!$A$5:$A$24,0)),"")</f>
        <v>Management</v>
      </c>
      <c r="F565" s="16" t="str">
        <f aca="false">IFERROR(INDEX('Staff Master'!$E$5:$E$24,MATCH(C565,'Staff Master'!$A$5:$A$24,0)),"")</f>
        <v>CEO</v>
      </c>
      <c r="G565" s="10" t="s">
        <v>90</v>
      </c>
      <c r="H565" s="17" t="n">
        <f aca="false">IFERROR(INDEX('Shift Master'!$C$5:$C$16,MATCH(G565,'Shift Master'!$A$5:$A$16,0)),"")</f>
        <v>0.375</v>
      </c>
      <c r="I565" s="17" t="n">
        <f aca="false">IFERROR(INDEX('Shift Master'!$D$5:$D$16,MATCH(G565,'Shift Master'!$A$5:$A$16,0)),"")</f>
        <v>0.75</v>
      </c>
      <c r="J565" s="16" t="n">
        <f aca="false">IFERROR(INDEX('Shift Master'!$E$5:$E$16,MATCH(G565,'Shift Master'!$A$5:$A$16,0)),"")</f>
        <v>60</v>
      </c>
      <c r="K565" s="16" t="n">
        <f aca="false">IFERROR(INDEX('Shift Master'!$G$5:$G$16,MATCH(G565,'Shift Master'!$A$5:$A$16,0)),0)</f>
        <v>8</v>
      </c>
      <c r="L565" s="16" t="s">
        <v>228</v>
      </c>
      <c r="M565" s="16" t="s">
        <v>229</v>
      </c>
      <c r="N565" s="16" t="str">
        <f aca="false">IF(COUNTIFS('Staffing Coverage'!$A$5:$A$12,E565,'Staffing Coverage'!$B$5:$B$12,G565)=0,"",IF(COUNTIFS($A$5:$A$10004,A565,$E$5:$E$10004,E565,$G$5:$G$10004,G565)&lt;INDEX('Staffing Coverage'!$C$5:$C$12,MATCH(1,('Staffing Coverage'!$A$5:$A$12=E565)*('Staffing Coverage'!$B$5:$B$12=G565),0)),"SHORT","OK"))</f>
        <v/>
      </c>
    </row>
    <row r="566" customFormat="false" ht="15" hidden="false" customHeight="false" outlineLevel="0" collapsed="false">
      <c r="A566" s="15" t="n">
        <v>46324</v>
      </c>
      <c r="B566" s="16" t="str">
        <f aca="false">TEXT(A566,"ddd")</f>
        <v>Thu</v>
      </c>
      <c r="C566" s="10" t="s">
        <v>137</v>
      </c>
      <c r="D566" s="16" t="str">
        <f aca="false">IFERROR(INDEX('Staff Master'!$B$5:$B$24,MATCH(C566,'Staff Master'!$A$5:$A$24,0)),"")</f>
        <v>Dr. Sara Haddad</v>
      </c>
      <c r="E566" s="16" t="str">
        <f aca="false">IFERROR(INDEX('Staff Master'!$D$5:$D$24,MATCH(C566,'Staff Master'!$A$5:$A$24,0)),"")</f>
        <v>General Practice</v>
      </c>
      <c r="F566" s="16" t="str">
        <f aca="false">IFERROR(INDEX('Staff Master'!$E$5:$E$24,MATCH(C566,'Staff Master'!$A$5:$A$24,0)),"")</f>
        <v>Medical Director</v>
      </c>
      <c r="G566" s="10" t="s">
        <v>96</v>
      </c>
      <c r="H566" s="17" t="n">
        <f aca="false">IFERROR(INDEX('Shift Master'!$C$5:$C$16,MATCH(G566,'Shift Master'!$A$5:$A$16,0)),"")</f>
        <v>0.375</v>
      </c>
      <c r="I566" s="17" t="n">
        <f aca="false">IFERROR(INDEX('Shift Master'!$D$5:$D$16,MATCH(G566,'Shift Master'!$A$5:$A$16,0)),"")</f>
        <v>0.708333333333333</v>
      </c>
      <c r="J566" s="16" t="n">
        <f aca="false">IFERROR(INDEX('Shift Master'!$E$5:$E$16,MATCH(G566,'Shift Master'!$A$5:$A$16,0)),"")</f>
        <v>60</v>
      </c>
      <c r="K566" s="16" t="n">
        <f aca="false">IFERROR(INDEX('Shift Master'!$G$5:$G$16,MATCH(G566,'Shift Master'!$A$5:$A$16,0)),0)</f>
        <v>7</v>
      </c>
      <c r="L566" s="16" t="s">
        <v>228</v>
      </c>
      <c r="M566" s="16" t="s">
        <v>229</v>
      </c>
      <c r="N566" s="16" t="str">
        <f aca="false">IF(COUNTIFS('Staffing Coverage'!$A$5:$A$12,E566,'Staffing Coverage'!$B$5:$B$12,G566)=0,"",IF(COUNTIFS($A$5:$A$10004,A566,$E$5:$E$10004,E566,$G$5:$G$10004,G566)&lt;INDEX('Staffing Coverage'!$C$5:$C$12,MATCH(1,('Staffing Coverage'!$A$5:$A$12=E566)*('Staffing Coverage'!$B$5:$B$12=G566),0)),"SHORT","OK"))</f>
        <v/>
      </c>
    </row>
    <row r="567" customFormat="false" ht="15" hidden="false" customHeight="false" outlineLevel="0" collapsed="false">
      <c r="A567" s="15" t="n">
        <v>46324</v>
      </c>
      <c r="B567" s="16" t="str">
        <f aca="false">TEXT(A567,"ddd")</f>
        <v>Thu</v>
      </c>
      <c r="C567" s="10" t="s">
        <v>142</v>
      </c>
      <c r="D567" s="16" t="str">
        <f aca="false">IFERROR(INDEX('Staff Master'!$B$5:$B$24,MATCH(C567,'Staff Master'!$A$5:$A$24,0)),"")</f>
        <v>Dr. Omar Khalil</v>
      </c>
      <c r="E567" s="16" t="str">
        <f aca="false">IFERROR(INDEX('Staff Master'!$D$5:$D$24,MATCH(C567,'Staff Master'!$A$5:$A$24,0)),"")</f>
        <v>General Practice</v>
      </c>
      <c r="F567" s="16" t="str">
        <f aca="false">IFERROR(INDEX('Staff Master'!$E$5:$E$24,MATCH(C567,'Staff Master'!$A$5:$A$24,0)),"")</f>
        <v>Doctor</v>
      </c>
      <c r="G567" s="10" t="s">
        <v>96</v>
      </c>
      <c r="H567" s="17" t="n">
        <f aca="false">IFERROR(INDEX('Shift Master'!$C$5:$C$16,MATCH(G567,'Shift Master'!$A$5:$A$16,0)),"")</f>
        <v>0.375</v>
      </c>
      <c r="I567" s="17" t="n">
        <f aca="false">IFERROR(INDEX('Shift Master'!$D$5:$D$16,MATCH(G567,'Shift Master'!$A$5:$A$16,0)),"")</f>
        <v>0.708333333333333</v>
      </c>
      <c r="J567" s="16" t="n">
        <f aca="false">IFERROR(INDEX('Shift Master'!$E$5:$E$16,MATCH(G567,'Shift Master'!$A$5:$A$16,0)),"")</f>
        <v>60</v>
      </c>
      <c r="K567" s="16" t="n">
        <f aca="false">IFERROR(INDEX('Shift Master'!$G$5:$G$16,MATCH(G567,'Shift Master'!$A$5:$A$16,0)),0)</f>
        <v>7</v>
      </c>
      <c r="L567" s="16" t="s">
        <v>228</v>
      </c>
      <c r="M567" s="16" t="s">
        <v>229</v>
      </c>
      <c r="N567" s="16" t="str">
        <f aca="false">IF(COUNTIFS('Staffing Coverage'!$A$5:$A$12,E567,'Staffing Coverage'!$B$5:$B$12,G567)=0,"",IF(COUNTIFS($A$5:$A$10004,A567,$E$5:$E$10004,E567,$G$5:$G$10004,G567)&lt;INDEX('Staffing Coverage'!$C$5:$C$12,MATCH(1,('Staffing Coverage'!$A$5:$A$12=E567)*('Staffing Coverage'!$B$5:$B$12=G567),0)),"SHORT","OK"))</f>
        <v/>
      </c>
    </row>
    <row r="568" customFormat="false" ht="15" hidden="false" customHeight="false" outlineLevel="0" collapsed="false">
      <c r="A568" s="15" t="n">
        <v>46324</v>
      </c>
      <c r="B568" s="16" t="str">
        <f aca="false">TEXT(A568,"ddd")</f>
        <v>Thu</v>
      </c>
      <c r="C568" s="10" t="s">
        <v>146</v>
      </c>
      <c r="D568" s="16" t="str">
        <f aca="false">IFERROR(INDEX('Staff Master'!$B$5:$B$24,MATCH(C568,'Staff Master'!$A$5:$A$24,0)),"")</f>
        <v>Dr. Lina Abboud</v>
      </c>
      <c r="E568" s="16" t="str">
        <f aca="false">IFERROR(INDEX('Staff Master'!$D$5:$D$24,MATCH(C568,'Staff Master'!$A$5:$A$24,0)),"")</f>
        <v>Dental</v>
      </c>
      <c r="F568" s="16" t="str">
        <f aca="false">IFERROR(INDEX('Staff Master'!$E$5:$E$24,MATCH(C568,'Staff Master'!$A$5:$A$24,0)),"")</f>
        <v>Dentist</v>
      </c>
      <c r="G568" s="10" t="s">
        <v>96</v>
      </c>
      <c r="H568" s="17" t="n">
        <f aca="false">IFERROR(INDEX('Shift Master'!$C$5:$C$16,MATCH(G568,'Shift Master'!$A$5:$A$16,0)),"")</f>
        <v>0.375</v>
      </c>
      <c r="I568" s="17" t="n">
        <f aca="false">IFERROR(INDEX('Shift Master'!$D$5:$D$16,MATCH(G568,'Shift Master'!$A$5:$A$16,0)),"")</f>
        <v>0.708333333333333</v>
      </c>
      <c r="J568" s="16" t="n">
        <f aca="false">IFERROR(INDEX('Shift Master'!$E$5:$E$16,MATCH(G568,'Shift Master'!$A$5:$A$16,0)),"")</f>
        <v>60</v>
      </c>
      <c r="K568" s="16" t="n">
        <f aca="false">IFERROR(INDEX('Shift Master'!$G$5:$G$16,MATCH(G568,'Shift Master'!$A$5:$A$16,0)),0)</f>
        <v>7</v>
      </c>
      <c r="L568" s="16" t="s">
        <v>228</v>
      </c>
      <c r="M568" s="16" t="s">
        <v>229</v>
      </c>
      <c r="N568" s="16" t="str">
        <f aca="false">IF(COUNTIFS('Staffing Coverage'!$A$5:$A$12,E568,'Staffing Coverage'!$B$5:$B$12,G568)=0,"",IF(COUNTIFS($A$5:$A$10004,A568,$E$5:$E$10004,E568,$G$5:$G$10004,G568)&lt;INDEX('Staffing Coverage'!$C$5:$C$12,MATCH(1,('Staffing Coverage'!$A$5:$A$12=E568)*('Staffing Coverage'!$B$5:$B$12=G568),0)),"SHORT","OK"))</f>
        <v/>
      </c>
    </row>
    <row r="569" customFormat="false" ht="15" hidden="false" customHeight="false" outlineLevel="0" collapsed="false">
      <c r="A569" s="15" t="n">
        <v>46324</v>
      </c>
      <c r="B569" s="16" t="str">
        <f aca="false">TEXT(A569,"ddd")</f>
        <v>Thu</v>
      </c>
      <c r="C569" s="10" t="s">
        <v>150</v>
      </c>
      <c r="D569" s="16" t="str">
        <f aca="false">IFERROR(INDEX('Staff Master'!$B$5:$B$24,MATCH(C569,'Staff Master'!$A$5:$A$24,0)),"")</f>
        <v>Dr. Farah Idris</v>
      </c>
      <c r="E569" s="16" t="str">
        <f aca="false">IFERROR(INDEX('Staff Master'!$D$5:$D$24,MATCH(C569,'Staff Master'!$A$5:$A$24,0)),"")</f>
        <v>Dental</v>
      </c>
      <c r="F569" s="16" t="str">
        <f aca="false">IFERROR(INDEX('Staff Master'!$E$5:$E$24,MATCH(C569,'Staff Master'!$A$5:$A$24,0)),"")</f>
        <v>Dentist</v>
      </c>
      <c r="G569" s="10" t="s">
        <v>96</v>
      </c>
      <c r="H569" s="17" t="n">
        <f aca="false">IFERROR(INDEX('Shift Master'!$C$5:$C$16,MATCH(G569,'Shift Master'!$A$5:$A$16,0)),"")</f>
        <v>0.375</v>
      </c>
      <c r="I569" s="17" t="n">
        <f aca="false">IFERROR(INDEX('Shift Master'!$D$5:$D$16,MATCH(G569,'Shift Master'!$A$5:$A$16,0)),"")</f>
        <v>0.708333333333333</v>
      </c>
      <c r="J569" s="16" t="n">
        <f aca="false">IFERROR(INDEX('Shift Master'!$E$5:$E$16,MATCH(G569,'Shift Master'!$A$5:$A$16,0)),"")</f>
        <v>60</v>
      </c>
      <c r="K569" s="16" t="n">
        <f aca="false">IFERROR(INDEX('Shift Master'!$G$5:$G$16,MATCH(G569,'Shift Master'!$A$5:$A$16,0)),0)</f>
        <v>7</v>
      </c>
      <c r="L569" s="16" t="s">
        <v>228</v>
      </c>
      <c r="M569" s="16" t="s">
        <v>229</v>
      </c>
      <c r="N569" s="16" t="str">
        <f aca="false">IF(COUNTIFS('Staffing Coverage'!$A$5:$A$12,E569,'Staffing Coverage'!$B$5:$B$12,G569)=0,"",IF(COUNTIFS($A$5:$A$10004,A569,$E$5:$E$10004,E569,$G$5:$G$10004,G569)&lt;INDEX('Staffing Coverage'!$C$5:$C$12,MATCH(1,('Staffing Coverage'!$A$5:$A$12=E569)*('Staffing Coverage'!$B$5:$B$12=G569),0)),"SHORT","OK"))</f>
        <v/>
      </c>
    </row>
    <row r="570" customFormat="false" ht="15" hidden="false" customHeight="false" outlineLevel="0" collapsed="false">
      <c r="A570" s="15" t="n">
        <v>46324</v>
      </c>
      <c r="B570" s="16" t="str">
        <f aca="false">TEXT(A570,"ddd")</f>
        <v>Thu</v>
      </c>
      <c r="C570" s="10" t="s">
        <v>157</v>
      </c>
      <c r="D570" s="16" t="str">
        <f aca="false">IFERROR(INDEX('Staff Master'!$B$5:$B$24,MATCH(C570,'Staff Master'!$A$5:$A$24,0)),"")</f>
        <v>Dr. Youssef Nassar</v>
      </c>
      <c r="E570" s="16" t="str">
        <f aca="false">IFERROR(INDEX('Staff Master'!$D$5:$D$24,MATCH(C570,'Staff Master'!$A$5:$A$24,0)),"")</f>
        <v>General Practice</v>
      </c>
      <c r="F570" s="16" t="str">
        <f aca="false">IFERROR(INDEX('Staff Master'!$E$5:$E$24,MATCH(C570,'Staff Master'!$A$5:$A$24,0)),"")</f>
        <v>General Practitioner</v>
      </c>
      <c r="G570" s="10" t="s">
        <v>96</v>
      </c>
      <c r="H570" s="17" t="n">
        <f aca="false">IFERROR(INDEX('Shift Master'!$C$5:$C$16,MATCH(G570,'Shift Master'!$A$5:$A$16,0)),"")</f>
        <v>0.375</v>
      </c>
      <c r="I570" s="17" t="n">
        <f aca="false">IFERROR(INDEX('Shift Master'!$D$5:$D$16,MATCH(G570,'Shift Master'!$A$5:$A$16,0)),"")</f>
        <v>0.708333333333333</v>
      </c>
      <c r="J570" s="16" t="n">
        <f aca="false">IFERROR(INDEX('Shift Master'!$E$5:$E$16,MATCH(G570,'Shift Master'!$A$5:$A$16,0)),"")</f>
        <v>60</v>
      </c>
      <c r="K570" s="16" t="n">
        <f aca="false">IFERROR(INDEX('Shift Master'!$G$5:$G$16,MATCH(G570,'Shift Master'!$A$5:$A$16,0)),0)</f>
        <v>7</v>
      </c>
      <c r="L570" s="16" t="s">
        <v>228</v>
      </c>
      <c r="M570" s="16" t="s">
        <v>229</v>
      </c>
      <c r="N570" s="16" t="str">
        <f aca="false">IF(COUNTIFS('Staffing Coverage'!$A$5:$A$12,E570,'Staffing Coverage'!$B$5:$B$12,G570)=0,"",IF(COUNTIFS($A$5:$A$10004,A570,$E$5:$E$10004,E570,$G$5:$G$10004,G570)&lt;INDEX('Staffing Coverage'!$C$5:$C$12,MATCH(1,('Staffing Coverage'!$A$5:$A$12=E570)*('Staffing Coverage'!$B$5:$B$12=G570),0)),"SHORT","OK"))</f>
        <v/>
      </c>
    </row>
    <row r="571" customFormat="false" ht="15" hidden="false" customHeight="false" outlineLevel="0" collapsed="false">
      <c r="A571" s="15" t="n">
        <v>46324</v>
      </c>
      <c r="B571" s="16" t="str">
        <f aca="false">TEXT(A571,"ddd")</f>
        <v>Thu</v>
      </c>
      <c r="C571" s="10" t="s">
        <v>161</v>
      </c>
      <c r="D571" s="16" t="str">
        <f aca="false">IFERROR(INDEX('Staff Master'!$B$5:$B$24,MATCH(C571,'Staff Master'!$A$5:$A$24,0)),"")</f>
        <v>Grace Fernandez</v>
      </c>
      <c r="E571" s="16" t="str">
        <f aca="false">IFERROR(INDEX('Staff Master'!$D$5:$D$24,MATCH(C571,'Staff Master'!$A$5:$A$24,0)),"")</f>
        <v>Nursing</v>
      </c>
      <c r="F571" s="16" t="str">
        <f aca="false">IFERROR(INDEX('Staff Master'!$E$5:$E$24,MATCH(C571,'Staff Master'!$A$5:$A$24,0)),"")</f>
        <v>Nurse</v>
      </c>
      <c r="G571" s="10" t="s">
        <v>87</v>
      </c>
      <c r="H571" s="17" t="n">
        <f aca="false">IFERROR(INDEX('Shift Master'!$C$5:$C$16,MATCH(G571,'Shift Master'!$A$5:$A$16,0)),"")</f>
        <v>0.333333333333333</v>
      </c>
      <c r="I571" s="17" t="n">
        <f aca="false">IFERROR(INDEX('Shift Master'!$D$5:$D$16,MATCH(G571,'Shift Master'!$A$5:$A$16,0)),"")</f>
        <v>0.708333333333333</v>
      </c>
      <c r="J571" s="16" t="n">
        <f aca="false">IFERROR(INDEX('Shift Master'!$E$5:$E$16,MATCH(G571,'Shift Master'!$A$5:$A$16,0)),"")</f>
        <v>60</v>
      </c>
      <c r="K571" s="16" t="n">
        <f aca="false">IFERROR(INDEX('Shift Master'!$G$5:$G$16,MATCH(G571,'Shift Master'!$A$5:$A$16,0)),0)</f>
        <v>8</v>
      </c>
      <c r="L571" s="16" t="s">
        <v>228</v>
      </c>
      <c r="M571" s="16" t="s">
        <v>229</v>
      </c>
      <c r="N571" s="16" t="str">
        <f aca="false">IF(COUNTIFS('Staffing Coverage'!$A$5:$A$12,E571,'Staffing Coverage'!$B$5:$B$12,G571)=0,"",IF(COUNTIFS($A$5:$A$10004,A571,$E$5:$E$10004,E571,$G$5:$G$10004,G571)&lt;INDEX('Staffing Coverage'!$C$5:$C$12,MATCH(1,('Staffing Coverage'!$A$5:$A$12=E571)*('Staffing Coverage'!$B$5:$B$12=G571),0)),"SHORT","OK"))</f>
        <v>OK</v>
      </c>
    </row>
    <row r="572" customFormat="false" ht="15" hidden="false" customHeight="false" outlineLevel="0" collapsed="false">
      <c r="A572" s="15" t="n">
        <v>46324</v>
      </c>
      <c r="B572" s="16" t="str">
        <f aca="false">TEXT(A572,"ddd")</f>
        <v>Thu</v>
      </c>
      <c r="C572" s="10" t="s">
        <v>165</v>
      </c>
      <c r="D572" s="16" t="str">
        <f aca="false">IFERROR(INDEX('Staff Master'!$B$5:$B$24,MATCH(C572,'Staff Master'!$A$5:$A$24,0)),"")</f>
        <v>Priya Nair</v>
      </c>
      <c r="E572" s="16" t="str">
        <f aca="false">IFERROR(INDEX('Staff Master'!$D$5:$D$24,MATCH(C572,'Staff Master'!$A$5:$A$24,0)),"")</f>
        <v>Nursing</v>
      </c>
      <c r="F572" s="16" t="str">
        <f aca="false">IFERROR(INDEX('Staff Master'!$E$5:$E$24,MATCH(C572,'Staff Master'!$A$5:$A$24,0)),"")</f>
        <v>Nurse</v>
      </c>
      <c r="G572" s="10" t="s">
        <v>90</v>
      </c>
      <c r="H572" s="17" t="n">
        <f aca="false">IFERROR(INDEX('Shift Master'!$C$5:$C$16,MATCH(G572,'Shift Master'!$A$5:$A$16,0)),"")</f>
        <v>0.375</v>
      </c>
      <c r="I572" s="17" t="n">
        <f aca="false">IFERROR(INDEX('Shift Master'!$D$5:$D$16,MATCH(G572,'Shift Master'!$A$5:$A$16,0)),"")</f>
        <v>0.75</v>
      </c>
      <c r="J572" s="16" t="n">
        <f aca="false">IFERROR(INDEX('Shift Master'!$E$5:$E$16,MATCH(G572,'Shift Master'!$A$5:$A$16,0)),"")</f>
        <v>60</v>
      </c>
      <c r="K572" s="16" t="n">
        <f aca="false">IFERROR(INDEX('Shift Master'!$G$5:$G$16,MATCH(G572,'Shift Master'!$A$5:$A$16,0)),0)</f>
        <v>8</v>
      </c>
      <c r="L572" s="16" t="s">
        <v>228</v>
      </c>
      <c r="M572" s="16" t="s">
        <v>229</v>
      </c>
      <c r="N572" s="16" t="str">
        <f aca="false">IF(COUNTIFS('Staffing Coverage'!$A$5:$A$12,E572,'Staffing Coverage'!$B$5:$B$12,G572)=0,"",IF(COUNTIFS($A$5:$A$10004,A572,$E$5:$E$10004,E572,$G$5:$G$10004,G572)&lt;INDEX('Staffing Coverage'!$C$5:$C$12,MATCH(1,('Staffing Coverage'!$A$5:$A$12=E572)*('Staffing Coverage'!$B$5:$B$12=G572),0)),"SHORT","OK"))</f>
        <v>OK</v>
      </c>
    </row>
    <row r="573" customFormat="false" ht="15" hidden="false" customHeight="false" outlineLevel="0" collapsed="false">
      <c r="A573" s="15" t="n">
        <v>46324</v>
      </c>
      <c r="B573" s="16" t="str">
        <f aca="false">TEXT(A573,"ddd")</f>
        <v>Thu</v>
      </c>
      <c r="C573" s="10" t="s">
        <v>170</v>
      </c>
      <c r="D573" s="16" t="str">
        <f aca="false">IFERROR(INDEX('Staff Master'!$B$5:$B$24,MATCH(C573,'Staff Master'!$A$5:$A$24,0)),"")</f>
        <v>Maria Santos</v>
      </c>
      <c r="E573" s="16" t="str">
        <f aca="false">IFERROR(INDEX('Staff Master'!$D$5:$D$24,MATCH(C573,'Staff Master'!$A$5:$A$24,0)),"")</f>
        <v>Nursing</v>
      </c>
      <c r="F573" s="16" t="str">
        <f aca="false">IFERROR(INDEX('Staff Master'!$E$5:$E$24,MATCH(C573,'Staff Master'!$A$5:$A$24,0)),"")</f>
        <v>Nurse</v>
      </c>
      <c r="G573" s="10" t="s">
        <v>94</v>
      </c>
      <c r="H573" s="17" t="n">
        <f aca="false">IFERROR(INDEX('Shift Master'!$C$5:$C$16,MATCH(G573,'Shift Master'!$A$5:$A$16,0)),"")</f>
        <v>0.541666666666667</v>
      </c>
      <c r="I573" s="17" t="n">
        <f aca="false">IFERROR(INDEX('Shift Master'!$D$5:$D$16,MATCH(G573,'Shift Master'!$A$5:$A$16,0)),"")</f>
        <v>0.916666666666667</v>
      </c>
      <c r="J573" s="16" t="n">
        <f aca="false">IFERROR(INDEX('Shift Master'!$E$5:$E$16,MATCH(G573,'Shift Master'!$A$5:$A$16,0)),"")</f>
        <v>60</v>
      </c>
      <c r="K573" s="16" t="n">
        <f aca="false">IFERROR(INDEX('Shift Master'!$G$5:$G$16,MATCH(G573,'Shift Master'!$A$5:$A$16,0)),0)</f>
        <v>8</v>
      </c>
      <c r="L573" s="16" t="s">
        <v>228</v>
      </c>
      <c r="M573" s="16" t="s">
        <v>229</v>
      </c>
      <c r="N573" s="16" t="str">
        <f aca="false">IF(COUNTIFS('Staffing Coverage'!$A$5:$A$12,E573,'Staffing Coverage'!$B$5:$B$12,G573)=0,"",IF(COUNTIFS($A$5:$A$10004,A573,$E$5:$E$10004,E573,$G$5:$G$10004,G573)&lt;INDEX('Staffing Coverage'!$C$5:$C$12,MATCH(1,('Staffing Coverage'!$A$5:$A$12=E573)*('Staffing Coverage'!$B$5:$B$12=G573),0)),"SHORT","OK"))</f>
        <v/>
      </c>
    </row>
    <row r="574" customFormat="false" ht="15" hidden="false" customHeight="false" outlineLevel="0" collapsed="false">
      <c r="A574" s="15" t="n">
        <v>46324</v>
      </c>
      <c r="B574" s="16" t="str">
        <f aca="false">TEXT(A574,"ddd")</f>
        <v>Thu</v>
      </c>
      <c r="C574" s="10" t="s">
        <v>174</v>
      </c>
      <c r="D574" s="16" t="str">
        <f aca="false">IFERROR(INDEX('Staff Master'!$B$5:$B$24,MATCH(C574,'Staff Master'!$A$5:$A$24,0)),"")</f>
        <v>Aisha Al Shamsi</v>
      </c>
      <c r="E574" s="16" t="str">
        <f aca="false">IFERROR(INDEX('Staff Master'!$D$5:$D$24,MATCH(C574,'Staff Master'!$A$5:$A$24,0)),"")</f>
        <v>Reception</v>
      </c>
      <c r="F574" s="16" t="str">
        <f aca="false">IFERROR(INDEX('Staff Master'!$E$5:$E$24,MATCH(C574,'Staff Master'!$A$5:$A$24,0)),"")</f>
        <v>Receptionist</v>
      </c>
      <c r="G574" s="10" t="s">
        <v>87</v>
      </c>
      <c r="H574" s="17" t="n">
        <f aca="false">IFERROR(INDEX('Shift Master'!$C$5:$C$16,MATCH(G574,'Shift Master'!$A$5:$A$16,0)),"")</f>
        <v>0.333333333333333</v>
      </c>
      <c r="I574" s="17" t="n">
        <f aca="false">IFERROR(INDEX('Shift Master'!$D$5:$D$16,MATCH(G574,'Shift Master'!$A$5:$A$16,0)),"")</f>
        <v>0.708333333333333</v>
      </c>
      <c r="J574" s="16" t="n">
        <f aca="false">IFERROR(INDEX('Shift Master'!$E$5:$E$16,MATCH(G574,'Shift Master'!$A$5:$A$16,0)),"")</f>
        <v>60</v>
      </c>
      <c r="K574" s="16" t="n">
        <f aca="false">IFERROR(INDEX('Shift Master'!$G$5:$G$16,MATCH(G574,'Shift Master'!$A$5:$A$16,0)),0)</f>
        <v>8</v>
      </c>
      <c r="L574" s="16" t="s">
        <v>228</v>
      </c>
      <c r="M574" s="16" t="s">
        <v>229</v>
      </c>
      <c r="N574" s="16" t="str">
        <f aca="false">IF(COUNTIFS('Staffing Coverage'!$A$5:$A$12,E574,'Staffing Coverage'!$B$5:$B$12,G574)=0,"",IF(COUNTIFS($A$5:$A$10004,A574,$E$5:$E$10004,E574,$G$5:$G$10004,G574)&lt;INDEX('Staffing Coverage'!$C$5:$C$12,MATCH(1,('Staffing Coverage'!$A$5:$A$12=E574)*('Staffing Coverage'!$B$5:$B$12=G574),0)),"SHORT","OK"))</f>
        <v>SHORT</v>
      </c>
    </row>
    <row r="575" customFormat="false" ht="15" hidden="false" customHeight="false" outlineLevel="0" collapsed="false">
      <c r="A575" s="15" t="n">
        <v>46324</v>
      </c>
      <c r="B575" s="16" t="str">
        <f aca="false">TEXT(A575,"ddd")</f>
        <v>Thu</v>
      </c>
      <c r="C575" s="10" t="s">
        <v>179</v>
      </c>
      <c r="D575" s="16" t="str">
        <f aca="false">IFERROR(INDEX('Staff Master'!$B$5:$B$24,MATCH(C575,'Staff Master'!$A$5:$A$24,0)),"")</f>
        <v>John Dsouza</v>
      </c>
      <c r="E575" s="16" t="str">
        <f aca="false">IFERROR(INDEX('Staff Master'!$D$5:$D$24,MATCH(C575,'Staff Master'!$A$5:$A$24,0)),"")</f>
        <v>Reception</v>
      </c>
      <c r="F575" s="16" t="str">
        <f aca="false">IFERROR(INDEX('Staff Master'!$E$5:$E$24,MATCH(C575,'Staff Master'!$A$5:$A$24,0)),"")</f>
        <v>Receptionist</v>
      </c>
      <c r="G575" s="10" t="s">
        <v>90</v>
      </c>
      <c r="H575" s="17" t="n">
        <f aca="false">IFERROR(INDEX('Shift Master'!$C$5:$C$16,MATCH(G575,'Shift Master'!$A$5:$A$16,0)),"")</f>
        <v>0.375</v>
      </c>
      <c r="I575" s="17" t="n">
        <f aca="false">IFERROR(INDEX('Shift Master'!$D$5:$D$16,MATCH(G575,'Shift Master'!$A$5:$A$16,0)),"")</f>
        <v>0.75</v>
      </c>
      <c r="J575" s="16" t="n">
        <f aca="false">IFERROR(INDEX('Shift Master'!$E$5:$E$16,MATCH(G575,'Shift Master'!$A$5:$A$16,0)),"")</f>
        <v>60</v>
      </c>
      <c r="K575" s="16" t="n">
        <f aca="false">IFERROR(INDEX('Shift Master'!$G$5:$G$16,MATCH(G575,'Shift Master'!$A$5:$A$16,0)),0)</f>
        <v>8</v>
      </c>
      <c r="L575" s="16" t="s">
        <v>228</v>
      </c>
      <c r="M575" s="16" t="s">
        <v>229</v>
      </c>
      <c r="N575" s="16" t="str">
        <f aca="false">IF(COUNTIFS('Staffing Coverage'!$A$5:$A$12,E575,'Staffing Coverage'!$B$5:$B$12,G575)=0,"",IF(COUNTIFS($A$5:$A$10004,A575,$E$5:$E$10004,E575,$G$5:$G$10004,G575)&lt;INDEX('Staffing Coverage'!$C$5:$C$12,MATCH(1,('Staffing Coverage'!$A$5:$A$12=E575)*('Staffing Coverage'!$B$5:$B$12=G575),0)),"SHORT","OK"))</f>
        <v>SHORT</v>
      </c>
    </row>
    <row r="576" customFormat="false" ht="15" hidden="false" customHeight="false" outlineLevel="0" collapsed="false">
      <c r="A576" s="15" t="n">
        <v>46324</v>
      </c>
      <c r="B576" s="16" t="str">
        <f aca="false">TEXT(A576,"ddd")</f>
        <v>Thu</v>
      </c>
      <c r="C576" s="10" t="s">
        <v>184</v>
      </c>
      <c r="D576" s="16" t="str">
        <f aca="false">IFERROR(INDEX('Staff Master'!$B$5:$B$24,MATCH(C576,'Staff Master'!$A$5:$A$24,0)),"")</f>
        <v>Fatima Zahra</v>
      </c>
      <c r="E576" s="16" t="str">
        <f aca="false">IFERROR(INDEX('Staff Master'!$D$5:$D$24,MATCH(C576,'Staff Master'!$A$5:$A$24,0)),"")</f>
        <v>Reception</v>
      </c>
      <c r="F576" s="16" t="str">
        <f aca="false">IFERROR(INDEX('Staff Master'!$E$5:$E$24,MATCH(C576,'Staff Master'!$A$5:$A$24,0)),"")</f>
        <v>Receptionist</v>
      </c>
      <c r="G576" s="10" t="s">
        <v>94</v>
      </c>
      <c r="H576" s="17" t="n">
        <f aca="false">IFERROR(INDEX('Shift Master'!$C$5:$C$16,MATCH(G576,'Shift Master'!$A$5:$A$16,0)),"")</f>
        <v>0.541666666666667</v>
      </c>
      <c r="I576" s="17" t="n">
        <f aca="false">IFERROR(INDEX('Shift Master'!$D$5:$D$16,MATCH(G576,'Shift Master'!$A$5:$A$16,0)),"")</f>
        <v>0.916666666666667</v>
      </c>
      <c r="J576" s="16" t="n">
        <f aca="false">IFERROR(INDEX('Shift Master'!$E$5:$E$16,MATCH(G576,'Shift Master'!$A$5:$A$16,0)),"")</f>
        <v>60</v>
      </c>
      <c r="K576" s="16" t="n">
        <f aca="false">IFERROR(INDEX('Shift Master'!$G$5:$G$16,MATCH(G576,'Shift Master'!$A$5:$A$16,0)),0)</f>
        <v>8</v>
      </c>
      <c r="L576" s="16" t="s">
        <v>228</v>
      </c>
      <c r="M576" s="16" t="s">
        <v>229</v>
      </c>
      <c r="N576" s="16" t="str">
        <f aca="false">IF(COUNTIFS('Staffing Coverage'!$A$5:$A$12,E576,'Staffing Coverage'!$B$5:$B$12,G576)=0,"",IF(COUNTIFS($A$5:$A$10004,A576,$E$5:$E$10004,E576,$G$5:$G$10004,G576)&lt;INDEX('Staffing Coverage'!$C$5:$C$12,MATCH(1,('Staffing Coverage'!$A$5:$A$12=E576)*('Staffing Coverage'!$B$5:$B$12=G576),0)),"SHORT","OK"))</f>
        <v>OK</v>
      </c>
    </row>
    <row r="577" customFormat="false" ht="15" hidden="false" customHeight="false" outlineLevel="0" collapsed="false">
      <c r="A577" s="15" t="n">
        <v>46324</v>
      </c>
      <c r="B577" s="16" t="str">
        <f aca="false">TEXT(A577,"ddd")</f>
        <v>Thu</v>
      </c>
      <c r="C577" s="10" t="s">
        <v>188</v>
      </c>
      <c r="D577" s="16" t="str">
        <f aca="false">IFERROR(INDEX('Staff Master'!$B$5:$B$24,MATCH(C577,'Staff Master'!$A$5:$A$24,0)),"")</f>
        <v>Ana Reyes</v>
      </c>
      <c r="E577" s="16" t="str">
        <f aca="false">IFERROR(INDEX('Staff Master'!$D$5:$D$24,MATCH(C577,'Staff Master'!$A$5:$A$24,0)),"")</f>
        <v>Dental</v>
      </c>
      <c r="F577" s="16" t="str">
        <f aca="false">IFERROR(INDEX('Staff Master'!$E$5:$E$24,MATCH(C577,'Staff Master'!$A$5:$A$24,0)),"")</f>
        <v>Dental Assistant</v>
      </c>
      <c r="G577" s="10" t="s">
        <v>87</v>
      </c>
      <c r="H577" s="17" t="n">
        <f aca="false">IFERROR(INDEX('Shift Master'!$C$5:$C$16,MATCH(G577,'Shift Master'!$A$5:$A$16,0)),"")</f>
        <v>0.333333333333333</v>
      </c>
      <c r="I577" s="17" t="n">
        <f aca="false">IFERROR(INDEX('Shift Master'!$D$5:$D$16,MATCH(G577,'Shift Master'!$A$5:$A$16,0)),"")</f>
        <v>0.708333333333333</v>
      </c>
      <c r="J577" s="16" t="n">
        <f aca="false">IFERROR(INDEX('Shift Master'!$E$5:$E$16,MATCH(G577,'Shift Master'!$A$5:$A$16,0)),"")</f>
        <v>60</v>
      </c>
      <c r="K577" s="16" t="n">
        <f aca="false">IFERROR(INDEX('Shift Master'!$G$5:$G$16,MATCH(G577,'Shift Master'!$A$5:$A$16,0)),0)</f>
        <v>8</v>
      </c>
      <c r="L577" s="16" t="s">
        <v>228</v>
      </c>
      <c r="M577" s="16" t="s">
        <v>229</v>
      </c>
      <c r="N577" s="16" t="str">
        <f aca="false">IF(COUNTIFS('Staffing Coverage'!$A$5:$A$12,E577,'Staffing Coverage'!$B$5:$B$12,G577)=0,"",IF(COUNTIFS($A$5:$A$10004,A577,$E$5:$E$10004,E577,$G$5:$G$10004,G577)&lt;INDEX('Staffing Coverage'!$C$5:$C$12,MATCH(1,('Staffing Coverage'!$A$5:$A$12=E577)*('Staffing Coverage'!$B$5:$B$12=G577),0)),"SHORT","OK"))</f>
        <v>OK</v>
      </c>
    </row>
    <row r="578" customFormat="false" ht="15" hidden="false" customHeight="false" outlineLevel="0" collapsed="false">
      <c r="A578" s="15" t="n">
        <v>46324</v>
      </c>
      <c r="B578" s="16" t="str">
        <f aca="false">TEXT(A578,"ddd")</f>
        <v>Thu</v>
      </c>
      <c r="C578" s="10" t="s">
        <v>192</v>
      </c>
      <c r="D578" s="16" t="str">
        <f aca="false">IFERROR(INDEX('Staff Master'!$B$5:$B$24,MATCH(C578,'Staff Master'!$A$5:$A$24,0)),"")</f>
        <v>Noor Hassan</v>
      </c>
      <c r="E578" s="16" t="str">
        <f aca="false">IFERROR(INDEX('Staff Master'!$D$5:$D$24,MATCH(C578,'Staff Master'!$A$5:$A$24,0)),"")</f>
        <v>Dental</v>
      </c>
      <c r="F578" s="16" t="str">
        <f aca="false">IFERROR(INDEX('Staff Master'!$E$5:$E$24,MATCH(C578,'Staff Master'!$A$5:$A$24,0)),"")</f>
        <v>Dental Assistant</v>
      </c>
      <c r="G578" s="10" t="s">
        <v>90</v>
      </c>
      <c r="H578" s="17" t="n">
        <f aca="false">IFERROR(INDEX('Shift Master'!$C$5:$C$16,MATCH(G578,'Shift Master'!$A$5:$A$16,0)),"")</f>
        <v>0.375</v>
      </c>
      <c r="I578" s="17" t="n">
        <f aca="false">IFERROR(INDEX('Shift Master'!$D$5:$D$16,MATCH(G578,'Shift Master'!$A$5:$A$16,0)),"")</f>
        <v>0.75</v>
      </c>
      <c r="J578" s="16" t="n">
        <f aca="false">IFERROR(INDEX('Shift Master'!$E$5:$E$16,MATCH(G578,'Shift Master'!$A$5:$A$16,0)),"")</f>
        <v>60</v>
      </c>
      <c r="K578" s="16" t="n">
        <f aca="false">IFERROR(INDEX('Shift Master'!$G$5:$G$16,MATCH(G578,'Shift Master'!$A$5:$A$16,0)),0)</f>
        <v>8</v>
      </c>
      <c r="L578" s="16" t="s">
        <v>228</v>
      </c>
      <c r="M578" s="16" t="s">
        <v>229</v>
      </c>
      <c r="N578" s="16" t="str">
        <f aca="false">IF(COUNTIFS('Staffing Coverage'!$A$5:$A$12,E578,'Staffing Coverage'!$B$5:$B$12,G578)=0,"",IF(COUNTIFS($A$5:$A$10004,A578,$E$5:$E$10004,E578,$G$5:$G$10004,G578)&lt;INDEX('Staffing Coverage'!$C$5:$C$12,MATCH(1,('Staffing Coverage'!$A$5:$A$12=E578)*('Staffing Coverage'!$B$5:$B$12=G578),0)),"SHORT","OK"))</f>
        <v/>
      </c>
    </row>
    <row r="579" customFormat="false" ht="15" hidden="false" customHeight="false" outlineLevel="0" collapsed="false">
      <c r="A579" s="15" t="n">
        <v>46324</v>
      </c>
      <c r="B579" s="16" t="str">
        <f aca="false">TEXT(A579,"ddd")</f>
        <v>Thu</v>
      </c>
      <c r="C579" s="10" t="s">
        <v>196</v>
      </c>
      <c r="D579" s="16" t="str">
        <f aca="false">IFERROR(INDEX('Staff Master'!$B$5:$B$24,MATCH(C579,'Staff Master'!$A$5:$A$24,0)),"")</f>
        <v>Karan Mehta</v>
      </c>
      <c r="E579" s="16" t="str">
        <f aca="false">IFERROR(INDEX('Staff Master'!$D$5:$D$24,MATCH(C579,'Staff Master'!$A$5:$A$24,0)),"")</f>
        <v>Laser</v>
      </c>
      <c r="F579" s="16" t="str">
        <f aca="false">IFERROR(INDEX('Staff Master'!$E$5:$E$24,MATCH(C579,'Staff Master'!$A$5:$A$24,0)),"")</f>
        <v>Laser Technician</v>
      </c>
      <c r="G579" s="10" t="s">
        <v>90</v>
      </c>
      <c r="H579" s="17" t="n">
        <f aca="false">IFERROR(INDEX('Shift Master'!$C$5:$C$16,MATCH(G579,'Shift Master'!$A$5:$A$16,0)),"")</f>
        <v>0.375</v>
      </c>
      <c r="I579" s="17" t="n">
        <f aca="false">IFERROR(INDEX('Shift Master'!$D$5:$D$16,MATCH(G579,'Shift Master'!$A$5:$A$16,0)),"")</f>
        <v>0.75</v>
      </c>
      <c r="J579" s="16" t="n">
        <f aca="false">IFERROR(INDEX('Shift Master'!$E$5:$E$16,MATCH(G579,'Shift Master'!$A$5:$A$16,0)),"")</f>
        <v>60</v>
      </c>
      <c r="K579" s="16" t="n">
        <f aca="false">IFERROR(INDEX('Shift Master'!$G$5:$G$16,MATCH(G579,'Shift Master'!$A$5:$A$16,0)),0)</f>
        <v>8</v>
      </c>
      <c r="L579" s="16" t="s">
        <v>228</v>
      </c>
      <c r="M579" s="16" t="s">
        <v>229</v>
      </c>
      <c r="N579" s="16" t="str">
        <f aca="false">IF(COUNTIFS('Staffing Coverage'!$A$5:$A$12,E579,'Staffing Coverage'!$B$5:$B$12,G579)=0,"",IF(COUNTIFS($A$5:$A$10004,A579,$E$5:$E$10004,E579,$G$5:$G$10004,G579)&lt;INDEX('Staffing Coverage'!$C$5:$C$12,MATCH(1,('Staffing Coverage'!$A$5:$A$12=E579)*('Staffing Coverage'!$B$5:$B$12=G579),0)),"SHORT","OK"))</f>
        <v/>
      </c>
    </row>
    <row r="580" customFormat="false" ht="15" hidden="false" customHeight="false" outlineLevel="0" collapsed="false">
      <c r="A580" s="15" t="n">
        <v>46324</v>
      </c>
      <c r="B580" s="16" t="str">
        <f aca="false">TEXT(A580,"ddd")</f>
        <v>Thu</v>
      </c>
      <c r="C580" s="10" t="s">
        <v>200</v>
      </c>
      <c r="D580" s="16" t="str">
        <f aca="false">IFERROR(INDEX('Staff Master'!$B$5:$B$24,MATCH(C580,'Staff Master'!$A$5:$A$24,0)),"")</f>
        <v>Imran Sheikh</v>
      </c>
      <c r="E580" s="16" t="str">
        <f aca="false">IFERROR(INDEX('Staff Master'!$D$5:$D$24,MATCH(C580,'Staff Master'!$A$5:$A$24,0)),"")</f>
        <v>Dental Laboratory</v>
      </c>
      <c r="F580" s="16" t="str">
        <f aca="false">IFERROR(INDEX('Staff Master'!$E$5:$E$24,MATCH(C580,'Staff Master'!$A$5:$A$24,0)),"")</f>
        <v>Dental Technician</v>
      </c>
      <c r="G580" s="10" t="s">
        <v>87</v>
      </c>
      <c r="H580" s="17" t="n">
        <f aca="false">IFERROR(INDEX('Shift Master'!$C$5:$C$16,MATCH(G580,'Shift Master'!$A$5:$A$16,0)),"")</f>
        <v>0.333333333333333</v>
      </c>
      <c r="I580" s="17" t="n">
        <f aca="false">IFERROR(INDEX('Shift Master'!$D$5:$D$16,MATCH(G580,'Shift Master'!$A$5:$A$16,0)),"")</f>
        <v>0.708333333333333</v>
      </c>
      <c r="J580" s="16" t="n">
        <f aca="false">IFERROR(INDEX('Shift Master'!$E$5:$E$16,MATCH(G580,'Shift Master'!$A$5:$A$16,0)),"")</f>
        <v>60</v>
      </c>
      <c r="K580" s="16" t="n">
        <f aca="false">IFERROR(INDEX('Shift Master'!$G$5:$G$16,MATCH(G580,'Shift Master'!$A$5:$A$16,0)),0)</f>
        <v>8</v>
      </c>
      <c r="L580" s="16" t="s">
        <v>228</v>
      </c>
      <c r="M580" s="16" t="s">
        <v>229</v>
      </c>
      <c r="N580" s="16" t="str">
        <f aca="false">IF(COUNTIFS('Staffing Coverage'!$A$5:$A$12,E580,'Staffing Coverage'!$B$5:$B$12,G580)=0,"",IF(COUNTIFS($A$5:$A$10004,A580,$E$5:$E$10004,E580,$G$5:$G$10004,G580)&lt;INDEX('Staffing Coverage'!$C$5:$C$12,MATCH(1,('Staffing Coverage'!$A$5:$A$12=E580)*('Staffing Coverage'!$B$5:$B$12=G580),0)),"SHORT","OK"))</f>
        <v/>
      </c>
    </row>
    <row r="581" customFormat="false" ht="15" hidden="false" customHeight="false" outlineLevel="0" collapsed="false">
      <c r="A581" s="15" t="n">
        <v>46324</v>
      </c>
      <c r="B581" s="16" t="str">
        <f aca="false">TEXT(A581,"ddd")</f>
        <v>Thu</v>
      </c>
      <c r="C581" s="10" t="s">
        <v>204</v>
      </c>
      <c r="D581" s="16" t="str">
        <f aca="false">IFERROR(INDEX('Staff Master'!$B$5:$B$24,MATCH(C581,'Staff Master'!$A$5:$A$24,0)),"")</f>
        <v>Josephine Cruz</v>
      </c>
      <c r="E581" s="16" t="str">
        <f aca="false">IFERROR(INDEX('Staff Master'!$D$5:$D$24,MATCH(C581,'Staff Master'!$A$5:$A$24,0)),"")</f>
        <v>CSSD</v>
      </c>
      <c r="F581" s="16" t="str">
        <f aca="false">IFERROR(INDEX('Staff Master'!$E$5:$E$24,MATCH(C581,'Staff Master'!$A$5:$A$24,0)),"")</f>
        <v>CSSD Technician</v>
      </c>
      <c r="G581" s="10" t="s">
        <v>87</v>
      </c>
      <c r="H581" s="17" t="n">
        <f aca="false">IFERROR(INDEX('Shift Master'!$C$5:$C$16,MATCH(G581,'Shift Master'!$A$5:$A$16,0)),"")</f>
        <v>0.333333333333333</v>
      </c>
      <c r="I581" s="17" t="n">
        <f aca="false">IFERROR(INDEX('Shift Master'!$D$5:$D$16,MATCH(G581,'Shift Master'!$A$5:$A$16,0)),"")</f>
        <v>0.708333333333333</v>
      </c>
      <c r="J581" s="16" t="n">
        <f aca="false">IFERROR(INDEX('Shift Master'!$E$5:$E$16,MATCH(G581,'Shift Master'!$A$5:$A$16,0)),"")</f>
        <v>60</v>
      </c>
      <c r="K581" s="16" t="n">
        <f aca="false">IFERROR(INDEX('Shift Master'!$G$5:$G$16,MATCH(G581,'Shift Master'!$A$5:$A$16,0)),0)</f>
        <v>8</v>
      </c>
      <c r="L581" s="16" t="s">
        <v>228</v>
      </c>
      <c r="M581" s="16" t="s">
        <v>229</v>
      </c>
      <c r="N581" s="16" t="str">
        <f aca="false">IF(COUNTIFS('Staffing Coverage'!$A$5:$A$12,E581,'Staffing Coverage'!$B$5:$B$12,G581)=0,"",IF(COUNTIFS($A$5:$A$10004,A581,$E$5:$E$10004,E581,$G$5:$G$10004,G581)&lt;INDEX('Staffing Coverage'!$C$5:$C$12,MATCH(1,('Staffing Coverage'!$A$5:$A$12=E581)*('Staffing Coverage'!$B$5:$B$12=G581),0)),"SHORT","OK"))</f>
        <v>OK</v>
      </c>
    </row>
    <row r="582" customFormat="false" ht="15" hidden="false" customHeight="false" outlineLevel="0" collapsed="false">
      <c r="A582" s="15" t="n">
        <v>46324</v>
      </c>
      <c r="B582" s="16" t="str">
        <f aca="false">TEXT(A582,"ddd")</f>
        <v>Thu</v>
      </c>
      <c r="C582" s="10" t="s">
        <v>208</v>
      </c>
      <c r="D582" s="16" t="str">
        <f aca="false">IFERROR(INDEX('Staff Master'!$B$5:$B$24,MATCH(C582,'Staff Master'!$A$5:$A$24,0)),"")</f>
        <v>Rosalyn Tan</v>
      </c>
      <c r="E582" s="16" t="str">
        <f aca="false">IFERROR(INDEX('Staff Master'!$D$5:$D$24,MATCH(C582,'Staff Master'!$A$5:$A$24,0)),"")</f>
        <v>Cleaning</v>
      </c>
      <c r="F582" s="16" t="str">
        <f aca="false">IFERROR(INDEX('Staff Master'!$E$5:$E$24,MATCH(C582,'Staff Master'!$A$5:$A$24,0)),"")</f>
        <v>Cleaner</v>
      </c>
      <c r="G582" s="10" t="s">
        <v>87</v>
      </c>
      <c r="H582" s="17" t="n">
        <f aca="false">IFERROR(INDEX('Shift Master'!$C$5:$C$16,MATCH(G582,'Shift Master'!$A$5:$A$16,0)),"")</f>
        <v>0.333333333333333</v>
      </c>
      <c r="I582" s="17" t="n">
        <f aca="false">IFERROR(INDEX('Shift Master'!$D$5:$D$16,MATCH(G582,'Shift Master'!$A$5:$A$16,0)),"")</f>
        <v>0.708333333333333</v>
      </c>
      <c r="J582" s="16" t="n">
        <f aca="false">IFERROR(INDEX('Shift Master'!$E$5:$E$16,MATCH(G582,'Shift Master'!$A$5:$A$16,0)),"")</f>
        <v>60</v>
      </c>
      <c r="K582" s="16" t="n">
        <f aca="false">IFERROR(INDEX('Shift Master'!$G$5:$G$16,MATCH(G582,'Shift Master'!$A$5:$A$16,0)),0)</f>
        <v>8</v>
      </c>
      <c r="L582" s="16" t="s">
        <v>228</v>
      </c>
      <c r="M582" s="16" t="s">
        <v>229</v>
      </c>
      <c r="N582" s="16" t="str">
        <f aca="false">IF(COUNTIFS('Staffing Coverage'!$A$5:$A$12,E582,'Staffing Coverage'!$B$5:$B$12,G582)=0,"",IF(COUNTIFS($A$5:$A$10004,A582,$E$5:$E$10004,E582,$G$5:$G$10004,G582)&lt;INDEX('Staffing Coverage'!$C$5:$C$12,MATCH(1,('Staffing Coverage'!$A$5:$A$12=E582)*('Staffing Coverage'!$B$5:$B$12=G582),0)),"SHORT","OK"))</f>
        <v>OK</v>
      </c>
    </row>
    <row r="583" customFormat="false" ht="15" hidden="false" customHeight="false" outlineLevel="0" collapsed="false">
      <c r="A583" s="15" t="n">
        <v>46324</v>
      </c>
      <c r="B583" s="16" t="str">
        <f aca="false">TEXT(A583,"ddd")</f>
        <v>Thu</v>
      </c>
      <c r="C583" s="10" t="s">
        <v>212</v>
      </c>
      <c r="D583" s="16" t="str">
        <f aca="false">IFERROR(INDEX('Staff Master'!$B$5:$B$24,MATCH(C583,'Staff Master'!$A$5:$A$24,0)),"")</f>
        <v>Hassan Baig</v>
      </c>
      <c r="E583" s="16" t="str">
        <f aca="false">IFERROR(INDEX('Staff Master'!$D$5:$D$24,MATCH(C583,'Staff Master'!$A$5:$A$24,0)),"")</f>
        <v>Facilities</v>
      </c>
      <c r="F583" s="16" t="str">
        <f aca="false">IFERROR(INDEX('Staff Master'!$E$5:$E$24,MATCH(C583,'Staff Master'!$A$5:$A$24,0)),"")</f>
        <v>Facility Manager</v>
      </c>
      <c r="G583" s="10" t="s">
        <v>90</v>
      </c>
      <c r="H583" s="17" t="n">
        <f aca="false">IFERROR(INDEX('Shift Master'!$C$5:$C$16,MATCH(G583,'Shift Master'!$A$5:$A$16,0)),"")</f>
        <v>0.375</v>
      </c>
      <c r="I583" s="17" t="n">
        <f aca="false">IFERROR(INDEX('Shift Master'!$D$5:$D$16,MATCH(G583,'Shift Master'!$A$5:$A$16,0)),"")</f>
        <v>0.75</v>
      </c>
      <c r="J583" s="16" t="n">
        <f aca="false">IFERROR(INDEX('Shift Master'!$E$5:$E$16,MATCH(G583,'Shift Master'!$A$5:$A$16,0)),"")</f>
        <v>60</v>
      </c>
      <c r="K583" s="16" t="n">
        <f aca="false">IFERROR(INDEX('Shift Master'!$G$5:$G$16,MATCH(G583,'Shift Master'!$A$5:$A$16,0)),0)</f>
        <v>8</v>
      </c>
      <c r="L583" s="16" t="s">
        <v>228</v>
      </c>
      <c r="M583" s="16" t="s">
        <v>229</v>
      </c>
      <c r="N583" s="16" t="str">
        <f aca="false">IF(COUNTIFS('Staffing Coverage'!$A$5:$A$12,E583,'Staffing Coverage'!$B$5:$B$12,G583)=0,"",IF(COUNTIFS($A$5:$A$10004,A583,$E$5:$E$10004,E583,$G$5:$G$10004,G583)&lt;INDEX('Staffing Coverage'!$C$5:$C$12,MATCH(1,('Staffing Coverage'!$A$5:$A$12=E583)*('Staffing Coverage'!$B$5:$B$12=G583),0)),"SHORT","OK"))</f>
        <v/>
      </c>
    </row>
    <row r="584" customFormat="false" ht="15" hidden="false" customHeight="false" outlineLevel="0" collapsed="false">
      <c r="A584" s="15" t="n">
        <v>46324</v>
      </c>
      <c r="B584" s="16" t="str">
        <f aca="false">TEXT(A584,"ddd")</f>
        <v>Thu</v>
      </c>
      <c r="C584" s="10" t="s">
        <v>178</v>
      </c>
      <c r="D584" s="16" t="str">
        <f aca="false">IFERROR(INDEX('Staff Master'!$B$5:$B$24,MATCH(C584,'Staff Master'!$A$5:$A$24,0)),"")</f>
        <v>Meera Pillai</v>
      </c>
      <c r="E584" s="16" t="str">
        <f aca="false">IFERROR(INDEX('Staff Master'!$D$5:$D$24,MATCH(C584,'Staff Master'!$A$5:$A$24,0)),"")</f>
        <v>HR</v>
      </c>
      <c r="F584" s="16" t="str">
        <f aca="false">IFERROR(INDEX('Staff Master'!$E$5:$E$24,MATCH(C584,'Staff Master'!$A$5:$A$24,0)),"")</f>
        <v>HR Executive</v>
      </c>
      <c r="G584" s="10" t="s">
        <v>90</v>
      </c>
      <c r="H584" s="17" t="n">
        <f aca="false">IFERROR(INDEX('Shift Master'!$C$5:$C$16,MATCH(G584,'Shift Master'!$A$5:$A$16,0)),"")</f>
        <v>0.375</v>
      </c>
      <c r="I584" s="17" t="n">
        <f aca="false">IFERROR(INDEX('Shift Master'!$D$5:$D$16,MATCH(G584,'Shift Master'!$A$5:$A$16,0)),"")</f>
        <v>0.75</v>
      </c>
      <c r="J584" s="16" t="n">
        <f aca="false">IFERROR(INDEX('Shift Master'!$E$5:$E$16,MATCH(G584,'Shift Master'!$A$5:$A$16,0)),"")</f>
        <v>60</v>
      </c>
      <c r="K584" s="16" t="n">
        <f aca="false">IFERROR(INDEX('Shift Master'!$G$5:$G$16,MATCH(G584,'Shift Master'!$A$5:$A$16,0)),0)</f>
        <v>8</v>
      </c>
      <c r="L584" s="16" t="s">
        <v>228</v>
      </c>
      <c r="M584" s="16" t="s">
        <v>229</v>
      </c>
      <c r="N584" s="16" t="str">
        <f aca="false">IF(COUNTIFS('Staffing Coverage'!$A$5:$A$12,E584,'Staffing Coverage'!$B$5:$B$12,G584)=0,"",IF(COUNTIFS($A$5:$A$10004,A584,$E$5:$E$10004,E584,$G$5:$G$10004,G584)&lt;INDEX('Staffing Coverage'!$C$5:$C$12,MATCH(1,('Staffing Coverage'!$A$5:$A$12=E584)*('Staffing Coverage'!$B$5:$B$12=G584),0)),"SHORT","OK"))</f>
        <v/>
      </c>
    </row>
    <row r="585" customFormat="false" ht="15" hidden="false" customHeight="false" outlineLevel="0" collapsed="false">
      <c r="A585" s="15" t="n">
        <v>46325</v>
      </c>
      <c r="B585" s="16" t="str">
        <f aca="false">TEXT(A585,"ddd")</f>
        <v>Fri</v>
      </c>
      <c r="C585" s="10" t="s">
        <v>128</v>
      </c>
      <c r="D585" s="16" t="str">
        <f aca="false">IFERROR(INDEX('Staff Master'!$B$5:$B$24,MATCH(C585,'Staff Master'!$A$5:$A$24,0)),"")</f>
        <v>Rashid Al Nuaimi</v>
      </c>
      <c r="E585" s="16" t="str">
        <f aca="false">IFERROR(INDEX('Staff Master'!$D$5:$D$24,MATCH(C585,'Staff Master'!$A$5:$A$24,0)),"")</f>
        <v>Management</v>
      </c>
      <c r="F585" s="16" t="str">
        <f aca="false">IFERROR(INDEX('Staff Master'!$E$5:$E$24,MATCH(C585,'Staff Master'!$A$5:$A$24,0)),"")</f>
        <v>CEO</v>
      </c>
      <c r="G585" s="10" t="s">
        <v>90</v>
      </c>
      <c r="H585" s="17" t="n">
        <f aca="false">IFERROR(INDEX('Shift Master'!$C$5:$C$16,MATCH(G585,'Shift Master'!$A$5:$A$16,0)),"")</f>
        <v>0.375</v>
      </c>
      <c r="I585" s="17" t="n">
        <f aca="false">IFERROR(INDEX('Shift Master'!$D$5:$D$16,MATCH(G585,'Shift Master'!$A$5:$A$16,0)),"")</f>
        <v>0.75</v>
      </c>
      <c r="J585" s="16" t="n">
        <f aca="false">IFERROR(INDEX('Shift Master'!$E$5:$E$16,MATCH(G585,'Shift Master'!$A$5:$A$16,0)),"")</f>
        <v>60</v>
      </c>
      <c r="K585" s="16" t="n">
        <f aca="false">IFERROR(INDEX('Shift Master'!$G$5:$G$16,MATCH(G585,'Shift Master'!$A$5:$A$16,0)),0)</f>
        <v>8</v>
      </c>
      <c r="L585" s="16" t="s">
        <v>228</v>
      </c>
      <c r="M585" s="16" t="s">
        <v>229</v>
      </c>
      <c r="N585" s="16" t="str">
        <f aca="false">IF(COUNTIFS('Staffing Coverage'!$A$5:$A$12,E585,'Staffing Coverage'!$B$5:$B$12,G585)=0,"",IF(COUNTIFS($A$5:$A$10004,A585,$E$5:$E$10004,E585,$G$5:$G$10004,G585)&lt;INDEX('Staffing Coverage'!$C$5:$C$12,MATCH(1,('Staffing Coverage'!$A$5:$A$12=E585)*('Staffing Coverage'!$B$5:$B$12=G585),0)),"SHORT","OK"))</f>
        <v/>
      </c>
    </row>
    <row r="586" customFormat="false" ht="15" hidden="false" customHeight="false" outlineLevel="0" collapsed="false">
      <c r="A586" s="15" t="n">
        <v>46325</v>
      </c>
      <c r="B586" s="16" t="str">
        <f aca="false">TEXT(A586,"ddd")</f>
        <v>Fri</v>
      </c>
      <c r="C586" s="10" t="s">
        <v>137</v>
      </c>
      <c r="D586" s="16" t="str">
        <f aca="false">IFERROR(INDEX('Staff Master'!$B$5:$B$24,MATCH(C586,'Staff Master'!$A$5:$A$24,0)),"")</f>
        <v>Dr. Sara Haddad</v>
      </c>
      <c r="E586" s="16" t="str">
        <f aca="false">IFERROR(INDEX('Staff Master'!$D$5:$D$24,MATCH(C586,'Staff Master'!$A$5:$A$24,0)),"")</f>
        <v>General Practice</v>
      </c>
      <c r="F586" s="16" t="str">
        <f aca="false">IFERROR(INDEX('Staff Master'!$E$5:$E$24,MATCH(C586,'Staff Master'!$A$5:$A$24,0)),"")</f>
        <v>Medical Director</v>
      </c>
      <c r="G586" s="10" t="s">
        <v>97</v>
      </c>
      <c r="H586" s="17" t="n">
        <f aca="false">IFERROR(INDEX('Shift Master'!$C$5:$C$16,MATCH(G586,'Shift Master'!$A$5:$A$16,0)),"")</f>
        <v>0</v>
      </c>
      <c r="I586" s="17" t="n">
        <f aca="false">IFERROR(INDEX('Shift Master'!$D$5:$D$16,MATCH(G586,'Shift Master'!$A$5:$A$16,0)),"")</f>
        <v>0</v>
      </c>
      <c r="J586" s="16" t="n">
        <f aca="false">IFERROR(INDEX('Shift Master'!$E$5:$E$16,MATCH(G586,'Shift Master'!$A$5:$A$16,0)),"")</f>
        <v>0</v>
      </c>
      <c r="K586" s="16" t="n">
        <f aca="false">IFERROR(INDEX('Shift Master'!$G$5:$G$16,MATCH(G586,'Shift Master'!$A$5:$A$16,0)),0)</f>
        <v>0</v>
      </c>
      <c r="L586" s="16" t="s">
        <v>228</v>
      </c>
      <c r="M586" s="16" t="s">
        <v>229</v>
      </c>
      <c r="N586" s="16" t="str">
        <f aca="false">IF(COUNTIFS('Staffing Coverage'!$A$5:$A$12,E586,'Staffing Coverage'!$B$5:$B$12,G586)=0,"",IF(COUNTIFS($A$5:$A$10004,A586,$E$5:$E$10004,E586,$G$5:$G$10004,G586)&lt;INDEX('Staffing Coverage'!$C$5:$C$12,MATCH(1,('Staffing Coverage'!$A$5:$A$12=E586)*('Staffing Coverage'!$B$5:$B$12=G586),0)),"SHORT","OK"))</f>
        <v/>
      </c>
    </row>
    <row r="587" customFormat="false" ht="15" hidden="false" customHeight="false" outlineLevel="0" collapsed="false">
      <c r="A587" s="15" t="n">
        <v>46325</v>
      </c>
      <c r="B587" s="16" t="str">
        <f aca="false">TEXT(A587,"ddd")</f>
        <v>Fri</v>
      </c>
      <c r="C587" s="10" t="s">
        <v>142</v>
      </c>
      <c r="D587" s="16" t="str">
        <f aca="false">IFERROR(INDEX('Staff Master'!$B$5:$B$24,MATCH(C587,'Staff Master'!$A$5:$A$24,0)),"")</f>
        <v>Dr. Omar Khalil</v>
      </c>
      <c r="E587" s="16" t="str">
        <f aca="false">IFERROR(INDEX('Staff Master'!$D$5:$D$24,MATCH(C587,'Staff Master'!$A$5:$A$24,0)),"")</f>
        <v>General Practice</v>
      </c>
      <c r="F587" s="16" t="str">
        <f aca="false">IFERROR(INDEX('Staff Master'!$E$5:$E$24,MATCH(C587,'Staff Master'!$A$5:$A$24,0)),"")</f>
        <v>Doctor</v>
      </c>
      <c r="G587" s="10" t="s">
        <v>96</v>
      </c>
      <c r="H587" s="17" t="n">
        <f aca="false">IFERROR(INDEX('Shift Master'!$C$5:$C$16,MATCH(G587,'Shift Master'!$A$5:$A$16,0)),"")</f>
        <v>0.375</v>
      </c>
      <c r="I587" s="17" t="n">
        <f aca="false">IFERROR(INDEX('Shift Master'!$D$5:$D$16,MATCH(G587,'Shift Master'!$A$5:$A$16,0)),"")</f>
        <v>0.708333333333333</v>
      </c>
      <c r="J587" s="16" t="n">
        <f aca="false">IFERROR(INDEX('Shift Master'!$E$5:$E$16,MATCH(G587,'Shift Master'!$A$5:$A$16,0)),"")</f>
        <v>60</v>
      </c>
      <c r="K587" s="16" t="n">
        <f aca="false">IFERROR(INDEX('Shift Master'!$G$5:$G$16,MATCH(G587,'Shift Master'!$A$5:$A$16,0)),0)</f>
        <v>7</v>
      </c>
      <c r="L587" s="16" t="s">
        <v>228</v>
      </c>
      <c r="M587" s="16" t="s">
        <v>229</v>
      </c>
      <c r="N587" s="16" t="str">
        <f aca="false">IF(COUNTIFS('Staffing Coverage'!$A$5:$A$12,E587,'Staffing Coverage'!$B$5:$B$12,G587)=0,"",IF(COUNTIFS($A$5:$A$10004,A587,$E$5:$E$10004,E587,$G$5:$G$10004,G587)&lt;INDEX('Staffing Coverage'!$C$5:$C$12,MATCH(1,('Staffing Coverage'!$A$5:$A$12=E587)*('Staffing Coverage'!$B$5:$B$12=G587),0)),"SHORT","OK"))</f>
        <v/>
      </c>
    </row>
    <row r="588" customFormat="false" ht="15" hidden="false" customHeight="false" outlineLevel="0" collapsed="false">
      <c r="A588" s="15" t="n">
        <v>46325</v>
      </c>
      <c r="B588" s="16" t="str">
        <f aca="false">TEXT(A588,"ddd")</f>
        <v>Fri</v>
      </c>
      <c r="C588" s="10" t="s">
        <v>146</v>
      </c>
      <c r="D588" s="16" t="str">
        <f aca="false">IFERROR(INDEX('Staff Master'!$B$5:$B$24,MATCH(C588,'Staff Master'!$A$5:$A$24,0)),"")</f>
        <v>Dr. Lina Abboud</v>
      </c>
      <c r="E588" s="16" t="str">
        <f aca="false">IFERROR(INDEX('Staff Master'!$D$5:$D$24,MATCH(C588,'Staff Master'!$A$5:$A$24,0)),"")</f>
        <v>Dental</v>
      </c>
      <c r="F588" s="16" t="str">
        <f aca="false">IFERROR(INDEX('Staff Master'!$E$5:$E$24,MATCH(C588,'Staff Master'!$A$5:$A$24,0)),"")</f>
        <v>Dentist</v>
      </c>
      <c r="G588" s="10" t="s">
        <v>97</v>
      </c>
      <c r="H588" s="17" t="n">
        <f aca="false">IFERROR(INDEX('Shift Master'!$C$5:$C$16,MATCH(G588,'Shift Master'!$A$5:$A$16,0)),"")</f>
        <v>0</v>
      </c>
      <c r="I588" s="17" t="n">
        <f aca="false">IFERROR(INDEX('Shift Master'!$D$5:$D$16,MATCH(G588,'Shift Master'!$A$5:$A$16,0)),"")</f>
        <v>0</v>
      </c>
      <c r="J588" s="16" t="n">
        <f aca="false">IFERROR(INDEX('Shift Master'!$E$5:$E$16,MATCH(G588,'Shift Master'!$A$5:$A$16,0)),"")</f>
        <v>0</v>
      </c>
      <c r="K588" s="16" t="n">
        <f aca="false">IFERROR(INDEX('Shift Master'!$G$5:$G$16,MATCH(G588,'Shift Master'!$A$5:$A$16,0)),0)</f>
        <v>0</v>
      </c>
      <c r="L588" s="16" t="s">
        <v>228</v>
      </c>
      <c r="M588" s="16" t="s">
        <v>229</v>
      </c>
      <c r="N588" s="16" t="str">
        <f aca="false">IF(COUNTIFS('Staffing Coverage'!$A$5:$A$12,E588,'Staffing Coverage'!$B$5:$B$12,G588)=0,"",IF(COUNTIFS($A$5:$A$10004,A588,$E$5:$E$10004,E588,$G$5:$G$10004,G588)&lt;INDEX('Staffing Coverage'!$C$5:$C$12,MATCH(1,('Staffing Coverage'!$A$5:$A$12=E588)*('Staffing Coverage'!$B$5:$B$12=G588),0)),"SHORT","OK"))</f>
        <v/>
      </c>
    </row>
    <row r="589" customFormat="false" ht="15" hidden="false" customHeight="false" outlineLevel="0" collapsed="false">
      <c r="A589" s="15" t="n">
        <v>46325</v>
      </c>
      <c r="B589" s="16" t="str">
        <f aca="false">TEXT(A589,"ddd")</f>
        <v>Fri</v>
      </c>
      <c r="C589" s="10" t="s">
        <v>150</v>
      </c>
      <c r="D589" s="16" t="str">
        <f aca="false">IFERROR(INDEX('Staff Master'!$B$5:$B$24,MATCH(C589,'Staff Master'!$A$5:$A$24,0)),"")</f>
        <v>Dr. Farah Idris</v>
      </c>
      <c r="E589" s="16" t="str">
        <f aca="false">IFERROR(INDEX('Staff Master'!$D$5:$D$24,MATCH(C589,'Staff Master'!$A$5:$A$24,0)),"")</f>
        <v>Dental</v>
      </c>
      <c r="F589" s="16" t="str">
        <f aca="false">IFERROR(INDEX('Staff Master'!$E$5:$E$24,MATCH(C589,'Staff Master'!$A$5:$A$24,0)),"")</f>
        <v>Dentist</v>
      </c>
      <c r="G589" s="10" t="s">
        <v>96</v>
      </c>
      <c r="H589" s="17" t="n">
        <f aca="false">IFERROR(INDEX('Shift Master'!$C$5:$C$16,MATCH(G589,'Shift Master'!$A$5:$A$16,0)),"")</f>
        <v>0.375</v>
      </c>
      <c r="I589" s="17" t="n">
        <f aca="false">IFERROR(INDEX('Shift Master'!$D$5:$D$16,MATCH(G589,'Shift Master'!$A$5:$A$16,0)),"")</f>
        <v>0.708333333333333</v>
      </c>
      <c r="J589" s="16" t="n">
        <f aca="false">IFERROR(INDEX('Shift Master'!$E$5:$E$16,MATCH(G589,'Shift Master'!$A$5:$A$16,0)),"")</f>
        <v>60</v>
      </c>
      <c r="K589" s="16" t="n">
        <f aca="false">IFERROR(INDEX('Shift Master'!$G$5:$G$16,MATCH(G589,'Shift Master'!$A$5:$A$16,0)),0)</f>
        <v>7</v>
      </c>
      <c r="L589" s="16" t="s">
        <v>228</v>
      </c>
      <c r="M589" s="16" t="s">
        <v>229</v>
      </c>
      <c r="N589" s="16" t="str">
        <f aca="false">IF(COUNTIFS('Staffing Coverage'!$A$5:$A$12,E589,'Staffing Coverage'!$B$5:$B$12,G589)=0,"",IF(COUNTIFS($A$5:$A$10004,A589,$E$5:$E$10004,E589,$G$5:$G$10004,G589)&lt;INDEX('Staffing Coverage'!$C$5:$C$12,MATCH(1,('Staffing Coverage'!$A$5:$A$12=E589)*('Staffing Coverage'!$B$5:$B$12=G589),0)),"SHORT","OK"))</f>
        <v/>
      </c>
    </row>
    <row r="590" customFormat="false" ht="15" hidden="false" customHeight="false" outlineLevel="0" collapsed="false">
      <c r="A590" s="15" t="n">
        <v>46325</v>
      </c>
      <c r="B590" s="16" t="str">
        <f aca="false">TEXT(A590,"ddd")</f>
        <v>Fri</v>
      </c>
      <c r="C590" s="10" t="s">
        <v>157</v>
      </c>
      <c r="D590" s="16" t="str">
        <f aca="false">IFERROR(INDEX('Staff Master'!$B$5:$B$24,MATCH(C590,'Staff Master'!$A$5:$A$24,0)),"")</f>
        <v>Dr. Youssef Nassar</v>
      </c>
      <c r="E590" s="16" t="str">
        <f aca="false">IFERROR(INDEX('Staff Master'!$D$5:$D$24,MATCH(C590,'Staff Master'!$A$5:$A$24,0)),"")</f>
        <v>General Practice</v>
      </c>
      <c r="F590" s="16" t="str">
        <f aca="false">IFERROR(INDEX('Staff Master'!$E$5:$E$24,MATCH(C590,'Staff Master'!$A$5:$A$24,0)),"")</f>
        <v>General Practitioner</v>
      </c>
      <c r="G590" s="10" t="s">
        <v>96</v>
      </c>
      <c r="H590" s="17" t="n">
        <f aca="false">IFERROR(INDEX('Shift Master'!$C$5:$C$16,MATCH(G590,'Shift Master'!$A$5:$A$16,0)),"")</f>
        <v>0.375</v>
      </c>
      <c r="I590" s="17" t="n">
        <f aca="false">IFERROR(INDEX('Shift Master'!$D$5:$D$16,MATCH(G590,'Shift Master'!$A$5:$A$16,0)),"")</f>
        <v>0.708333333333333</v>
      </c>
      <c r="J590" s="16" t="n">
        <f aca="false">IFERROR(INDEX('Shift Master'!$E$5:$E$16,MATCH(G590,'Shift Master'!$A$5:$A$16,0)),"")</f>
        <v>60</v>
      </c>
      <c r="K590" s="16" t="n">
        <f aca="false">IFERROR(INDEX('Shift Master'!$G$5:$G$16,MATCH(G590,'Shift Master'!$A$5:$A$16,0)),0)</f>
        <v>7</v>
      </c>
      <c r="L590" s="16" t="s">
        <v>228</v>
      </c>
      <c r="M590" s="16" t="s">
        <v>229</v>
      </c>
      <c r="N590" s="16" t="str">
        <f aca="false">IF(COUNTIFS('Staffing Coverage'!$A$5:$A$12,E590,'Staffing Coverage'!$B$5:$B$12,G590)=0,"",IF(COUNTIFS($A$5:$A$10004,A590,$E$5:$E$10004,E590,$G$5:$G$10004,G590)&lt;INDEX('Staffing Coverage'!$C$5:$C$12,MATCH(1,('Staffing Coverage'!$A$5:$A$12=E590)*('Staffing Coverage'!$B$5:$B$12=G590),0)),"SHORT","OK"))</f>
        <v/>
      </c>
    </row>
    <row r="591" customFormat="false" ht="15" hidden="false" customHeight="false" outlineLevel="0" collapsed="false">
      <c r="A591" s="15" t="n">
        <v>46325</v>
      </c>
      <c r="B591" s="16" t="str">
        <f aca="false">TEXT(A591,"ddd")</f>
        <v>Fri</v>
      </c>
      <c r="C591" s="10" t="s">
        <v>161</v>
      </c>
      <c r="D591" s="16" t="str">
        <f aca="false">IFERROR(INDEX('Staff Master'!$B$5:$B$24,MATCH(C591,'Staff Master'!$A$5:$A$24,0)),"")</f>
        <v>Grace Fernandez</v>
      </c>
      <c r="E591" s="16" t="str">
        <f aca="false">IFERROR(INDEX('Staff Master'!$D$5:$D$24,MATCH(C591,'Staff Master'!$A$5:$A$24,0)),"")</f>
        <v>Nursing</v>
      </c>
      <c r="F591" s="16" t="str">
        <f aca="false">IFERROR(INDEX('Staff Master'!$E$5:$E$24,MATCH(C591,'Staff Master'!$A$5:$A$24,0)),"")</f>
        <v>Nurse</v>
      </c>
      <c r="G591" s="10" t="s">
        <v>87</v>
      </c>
      <c r="H591" s="17" t="n">
        <f aca="false">IFERROR(INDEX('Shift Master'!$C$5:$C$16,MATCH(G591,'Shift Master'!$A$5:$A$16,0)),"")</f>
        <v>0.333333333333333</v>
      </c>
      <c r="I591" s="17" t="n">
        <f aca="false">IFERROR(INDEX('Shift Master'!$D$5:$D$16,MATCH(G591,'Shift Master'!$A$5:$A$16,0)),"")</f>
        <v>0.708333333333333</v>
      </c>
      <c r="J591" s="16" t="n">
        <f aca="false">IFERROR(INDEX('Shift Master'!$E$5:$E$16,MATCH(G591,'Shift Master'!$A$5:$A$16,0)),"")</f>
        <v>60</v>
      </c>
      <c r="K591" s="16" t="n">
        <f aca="false">IFERROR(INDEX('Shift Master'!$G$5:$G$16,MATCH(G591,'Shift Master'!$A$5:$A$16,0)),0)</f>
        <v>8</v>
      </c>
      <c r="L591" s="16" t="s">
        <v>228</v>
      </c>
      <c r="M591" s="16" t="s">
        <v>229</v>
      </c>
      <c r="N591" s="16" t="str">
        <f aca="false">IF(COUNTIFS('Staffing Coverage'!$A$5:$A$12,E591,'Staffing Coverage'!$B$5:$B$12,G591)=0,"",IF(COUNTIFS($A$5:$A$10004,A591,$E$5:$E$10004,E591,$G$5:$G$10004,G591)&lt;INDEX('Staffing Coverage'!$C$5:$C$12,MATCH(1,('Staffing Coverage'!$A$5:$A$12=E591)*('Staffing Coverage'!$B$5:$B$12=G591),0)),"SHORT","OK"))</f>
        <v>OK</v>
      </c>
    </row>
    <row r="592" customFormat="false" ht="15" hidden="false" customHeight="false" outlineLevel="0" collapsed="false">
      <c r="A592" s="15" t="n">
        <v>46325</v>
      </c>
      <c r="B592" s="16" t="str">
        <f aca="false">TEXT(A592,"ddd")</f>
        <v>Fri</v>
      </c>
      <c r="C592" s="10" t="s">
        <v>165</v>
      </c>
      <c r="D592" s="16" t="str">
        <f aca="false">IFERROR(INDEX('Staff Master'!$B$5:$B$24,MATCH(C592,'Staff Master'!$A$5:$A$24,0)),"")</f>
        <v>Priya Nair</v>
      </c>
      <c r="E592" s="16" t="str">
        <f aca="false">IFERROR(INDEX('Staff Master'!$D$5:$D$24,MATCH(C592,'Staff Master'!$A$5:$A$24,0)),"")</f>
        <v>Nursing</v>
      </c>
      <c r="F592" s="16" t="str">
        <f aca="false">IFERROR(INDEX('Staff Master'!$E$5:$E$24,MATCH(C592,'Staff Master'!$A$5:$A$24,0)),"")</f>
        <v>Nurse</v>
      </c>
      <c r="G592" s="10" t="s">
        <v>90</v>
      </c>
      <c r="H592" s="17" t="n">
        <f aca="false">IFERROR(INDEX('Shift Master'!$C$5:$C$16,MATCH(G592,'Shift Master'!$A$5:$A$16,0)),"")</f>
        <v>0.375</v>
      </c>
      <c r="I592" s="17" t="n">
        <f aca="false">IFERROR(INDEX('Shift Master'!$D$5:$D$16,MATCH(G592,'Shift Master'!$A$5:$A$16,0)),"")</f>
        <v>0.75</v>
      </c>
      <c r="J592" s="16" t="n">
        <f aca="false">IFERROR(INDEX('Shift Master'!$E$5:$E$16,MATCH(G592,'Shift Master'!$A$5:$A$16,0)),"")</f>
        <v>60</v>
      </c>
      <c r="K592" s="16" t="n">
        <f aca="false">IFERROR(INDEX('Shift Master'!$G$5:$G$16,MATCH(G592,'Shift Master'!$A$5:$A$16,0)),0)</f>
        <v>8</v>
      </c>
      <c r="L592" s="16" t="s">
        <v>228</v>
      </c>
      <c r="M592" s="16" t="s">
        <v>229</v>
      </c>
      <c r="N592" s="16" t="str">
        <f aca="false">IF(COUNTIFS('Staffing Coverage'!$A$5:$A$12,E592,'Staffing Coverage'!$B$5:$B$12,G592)=0,"",IF(COUNTIFS($A$5:$A$10004,A592,$E$5:$E$10004,E592,$G$5:$G$10004,G592)&lt;INDEX('Staffing Coverage'!$C$5:$C$12,MATCH(1,('Staffing Coverage'!$A$5:$A$12=E592)*('Staffing Coverage'!$B$5:$B$12=G592),0)),"SHORT","OK"))</f>
        <v>OK</v>
      </c>
    </row>
    <row r="593" customFormat="false" ht="15" hidden="false" customHeight="false" outlineLevel="0" collapsed="false">
      <c r="A593" s="15" t="n">
        <v>46325</v>
      </c>
      <c r="B593" s="16" t="str">
        <f aca="false">TEXT(A593,"ddd")</f>
        <v>Fri</v>
      </c>
      <c r="C593" s="10" t="s">
        <v>170</v>
      </c>
      <c r="D593" s="16" t="str">
        <f aca="false">IFERROR(INDEX('Staff Master'!$B$5:$B$24,MATCH(C593,'Staff Master'!$A$5:$A$24,0)),"")</f>
        <v>Maria Santos</v>
      </c>
      <c r="E593" s="16" t="str">
        <f aca="false">IFERROR(INDEX('Staff Master'!$D$5:$D$24,MATCH(C593,'Staff Master'!$A$5:$A$24,0)),"")</f>
        <v>Nursing</v>
      </c>
      <c r="F593" s="16" t="str">
        <f aca="false">IFERROR(INDEX('Staff Master'!$E$5:$E$24,MATCH(C593,'Staff Master'!$A$5:$A$24,0)),"")</f>
        <v>Nurse</v>
      </c>
      <c r="G593" s="10" t="s">
        <v>94</v>
      </c>
      <c r="H593" s="17" t="n">
        <f aca="false">IFERROR(INDEX('Shift Master'!$C$5:$C$16,MATCH(G593,'Shift Master'!$A$5:$A$16,0)),"")</f>
        <v>0.541666666666667</v>
      </c>
      <c r="I593" s="17" t="n">
        <f aca="false">IFERROR(INDEX('Shift Master'!$D$5:$D$16,MATCH(G593,'Shift Master'!$A$5:$A$16,0)),"")</f>
        <v>0.916666666666667</v>
      </c>
      <c r="J593" s="16" t="n">
        <f aca="false">IFERROR(INDEX('Shift Master'!$E$5:$E$16,MATCH(G593,'Shift Master'!$A$5:$A$16,0)),"")</f>
        <v>60</v>
      </c>
      <c r="K593" s="16" t="n">
        <f aca="false">IFERROR(INDEX('Shift Master'!$G$5:$G$16,MATCH(G593,'Shift Master'!$A$5:$A$16,0)),0)</f>
        <v>8</v>
      </c>
      <c r="L593" s="16" t="s">
        <v>228</v>
      </c>
      <c r="M593" s="16" t="s">
        <v>229</v>
      </c>
      <c r="N593" s="16" t="str">
        <f aca="false">IF(COUNTIFS('Staffing Coverage'!$A$5:$A$12,E593,'Staffing Coverage'!$B$5:$B$12,G593)=0,"",IF(COUNTIFS($A$5:$A$10004,A593,$E$5:$E$10004,E593,$G$5:$G$10004,G593)&lt;INDEX('Staffing Coverage'!$C$5:$C$12,MATCH(1,('Staffing Coverage'!$A$5:$A$12=E593)*('Staffing Coverage'!$B$5:$B$12=G593),0)),"SHORT","OK"))</f>
        <v/>
      </c>
    </row>
    <row r="594" customFormat="false" ht="15" hidden="false" customHeight="false" outlineLevel="0" collapsed="false">
      <c r="A594" s="15" t="n">
        <v>46325</v>
      </c>
      <c r="B594" s="16" t="str">
        <f aca="false">TEXT(A594,"ddd")</f>
        <v>Fri</v>
      </c>
      <c r="C594" s="10" t="s">
        <v>174</v>
      </c>
      <c r="D594" s="16" t="str">
        <f aca="false">IFERROR(INDEX('Staff Master'!$B$5:$B$24,MATCH(C594,'Staff Master'!$A$5:$A$24,0)),"")</f>
        <v>Aisha Al Shamsi</v>
      </c>
      <c r="E594" s="16" t="str">
        <f aca="false">IFERROR(INDEX('Staff Master'!$D$5:$D$24,MATCH(C594,'Staff Master'!$A$5:$A$24,0)),"")</f>
        <v>Reception</v>
      </c>
      <c r="F594" s="16" t="str">
        <f aca="false">IFERROR(INDEX('Staff Master'!$E$5:$E$24,MATCH(C594,'Staff Master'!$A$5:$A$24,0)),"")</f>
        <v>Receptionist</v>
      </c>
      <c r="G594" s="10" t="s">
        <v>87</v>
      </c>
      <c r="H594" s="17" t="n">
        <f aca="false">IFERROR(INDEX('Shift Master'!$C$5:$C$16,MATCH(G594,'Shift Master'!$A$5:$A$16,0)),"")</f>
        <v>0.333333333333333</v>
      </c>
      <c r="I594" s="17" t="n">
        <f aca="false">IFERROR(INDEX('Shift Master'!$D$5:$D$16,MATCH(G594,'Shift Master'!$A$5:$A$16,0)),"")</f>
        <v>0.708333333333333</v>
      </c>
      <c r="J594" s="16" t="n">
        <f aca="false">IFERROR(INDEX('Shift Master'!$E$5:$E$16,MATCH(G594,'Shift Master'!$A$5:$A$16,0)),"")</f>
        <v>60</v>
      </c>
      <c r="K594" s="16" t="n">
        <f aca="false">IFERROR(INDEX('Shift Master'!$G$5:$G$16,MATCH(G594,'Shift Master'!$A$5:$A$16,0)),0)</f>
        <v>8</v>
      </c>
      <c r="L594" s="16" t="s">
        <v>228</v>
      </c>
      <c r="M594" s="16" t="s">
        <v>229</v>
      </c>
      <c r="N594" s="16" t="str">
        <f aca="false">IF(COUNTIFS('Staffing Coverage'!$A$5:$A$12,E594,'Staffing Coverage'!$B$5:$B$12,G594)=0,"",IF(COUNTIFS($A$5:$A$10004,A594,$E$5:$E$10004,E594,$G$5:$G$10004,G594)&lt;INDEX('Staffing Coverage'!$C$5:$C$12,MATCH(1,('Staffing Coverage'!$A$5:$A$12=E594)*('Staffing Coverage'!$B$5:$B$12=G594),0)),"SHORT","OK"))</f>
        <v>SHORT</v>
      </c>
    </row>
    <row r="595" customFormat="false" ht="15" hidden="false" customHeight="false" outlineLevel="0" collapsed="false">
      <c r="A595" s="15" t="n">
        <v>46325</v>
      </c>
      <c r="B595" s="16" t="str">
        <f aca="false">TEXT(A595,"ddd")</f>
        <v>Fri</v>
      </c>
      <c r="C595" s="10" t="s">
        <v>179</v>
      </c>
      <c r="D595" s="16" t="str">
        <f aca="false">IFERROR(INDEX('Staff Master'!$B$5:$B$24,MATCH(C595,'Staff Master'!$A$5:$A$24,0)),"")</f>
        <v>John Dsouza</v>
      </c>
      <c r="E595" s="16" t="str">
        <f aca="false">IFERROR(INDEX('Staff Master'!$D$5:$D$24,MATCH(C595,'Staff Master'!$A$5:$A$24,0)),"")</f>
        <v>Reception</v>
      </c>
      <c r="F595" s="16" t="str">
        <f aca="false">IFERROR(INDEX('Staff Master'!$E$5:$E$24,MATCH(C595,'Staff Master'!$A$5:$A$24,0)),"")</f>
        <v>Receptionist</v>
      </c>
      <c r="G595" s="10" t="s">
        <v>90</v>
      </c>
      <c r="H595" s="17" t="n">
        <f aca="false">IFERROR(INDEX('Shift Master'!$C$5:$C$16,MATCH(G595,'Shift Master'!$A$5:$A$16,0)),"")</f>
        <v>0.375</v>
      </c>
      <c r="I595" s="17" t="n">
        <f aca="false">IFERROR(INDEX('Shift Master'!$D$5:$D$16,MATCH(G595,'Shift Master'!$A$5:$A$16,0)),"")</f>
        <v>0.75</v>
      </c>
      <c r="J595" s="16" t="n">
        <f aca="false">IFERROR(INDEX('Shift Master'!$E$5:$E$16,MATCH(G595,'Shift Master'!$A$5:$A$16,0)),"")</f>
        <v>60</v>
      </c>
      <c r="K595" s="16" t="n">
        <f aca="false">IFERROR(INDEX('Shift Master'!$G$5:$G$16,MATCH(G595,'Shift Master'!$A$5:$A$16,0)),0)</f>
        <v>8</v>
      </c>
      <c r="L595" s="16" t="s">
        <v>228</v>
      </c>
      <c r="M595" s="16" t="s">
        <v>229</v>
      </c>
      <c r="N595" s="16" t="str">
        <f aca="false">IF(COUNTIFS('Staffing Coverage'!$A$5:$A$12,E595,'Staffing Coverage'!$B$5:$B$12,G595)=0,"",IF(COUNTIFS($A$5:$A$10004,A595,$E$5:$E$10004,E595,$G$5:$G$10004,G595)&lt;INDEX('Staffing Coverage'!$C$5:$C$12,MATCH(1,('Staffing Coverage'!$A$5:$A$12=E595)*('Staffing Coverage'!$B$5:$B$12=G595),0)),"SHORT","OK"))</f>
        <v>SHORT</v>
      </c>
    </row>
    <row r="596" customFormat="false" ht="15" hidden="false" customHeight="false" outlineLevel="0" collapsed="false">
      <c r="A596" s="15" t="n">
        <v>46325</v>
      </c>
      <c r="B596" s="16" t="str">
        <f aca="false">TEXT(A596,"ddd")</f>
        <v>Fri</v>
      </c>
      <c r="C596" s="10" t="s">
        <v>184</v>
      </c>
      <c r="D596" s="16" t="str">
        <f aca="false">IFERROR(INDEX('Staff Master'!$B$5:$B$24,MATCH(C596,'Staff Master'!$A$5:$A$24,0)),"")</f>
        <v>Fatima Zahra</v>
      </c>
      <c r="E596" s="16" t="str">
        <f aca="false">IFERROR(INDEX('Staff Master'!$D$5:$D$24,MATCH(C596,'Staff Master'!$A$5:$A$24,0)),"")</f>
        <v>Reception</v>
      </c>
      <c r="F596" s="16" t="str">
        <f aca="false">IFERROR(INDEX('Staff Master'!$E$5:$E$24,MATCH(C596,'Staff Master'!$A$5:$A$24,0)),"")</f>
        <v>Receptionist</v>
      </c>
      <c r="G596" s="10" t="s">
        <v>94</v>
      </c>
      <c r="H596" s="17" t="n">
        <f aca="false">IFERROR(INDEX('Shift Master'!$C$5:$C$16,MATCH(G596,'Shift Master'!$A$5:$A$16,0)),"")</f>
        <v>0.541666666666667</v>
      </c>
      <c r="I596" s="17" t="n">
        <f aca="false">IFERROR(INDEX('Shift Master'!$D$5:$D$16,MATCH(G596,'Shift Master'!$A$5:$A$16,0)),"")</f>
        <v>0.916666666666667</v>
      </c>
      <c r="J596" s="16" t="n">
        <f aca="false">IFERROR(INDEX('Shift Master'!$E$5:$E$16,MATCH(G596,'Shift Master'!$A$5:$A$16,0)),"")</f>
        <v>60</v>
      </c>
      <c r="K596" s="16" t="n">
        <f aca="false">IFERROR(INDEX('Shift Master'!$G$5:$G$16,MATCH(G596,'Shift Master'!$A$5:$A$16,0)),0)</f>
        <v>8</v>
      </c>
      <c r="L596" s="16" t="s">
        <v>228</v>
      </c>
      <c r="M596" s="16" t="s">
        <v>229</v>
      </c>
      <c r="N596" s="16" t="str">
        <f aca="false">IF(COUNTIFS('Staffing Coverage'!$A$5:$A$12,E596,'Staffing Coverage'!$B$5:$B$12,G596)=0,"",IF(COUNTIFS($A$5:$A$10004,A596,$E$5:$E$10004,E596,$G$5:$G$10004,G596)&lt;INDEX('Staffing Coverage'!$C$5:$C$12,MATCH(1,('Staffing Coverage'!$A$5:$A$12=E596)*('Staffing Coverage'!$B$5:$B$12=G596),0)),"SHORT","OK"))</f>
        <v>OK</v>
      </c>
    </row>
    <row r="597" customFormat="false" ht="15" hidden="false" customHeight="false" outlineLevel="0" collapsed="false">
      <c r="A597" s="15" t="n">
        <v>46325</v>
      </c>
      <c r="B597" s="16" t="str">
        <f aca="false">TEXT(A597,"ddd")</f>
        <v>Fri</v>
      </c>
      <c r="C597" s="10" t="s">
        <v>188</v>
      </c>
      <c r="D597" s="16" t="str">
        <f aca="false">IFERROR(INDEX('Staff Master'!$B$5:$B$24,MATCH(C597,'Staff Master'!$A$5:$A$24,0)),"")</f>
        <v>Ana Reyes</v>
      </c>
      <c r="E597" s="16" t="str">
        <f aca="false">IFERROR(INDEX('Staff Master'!$D$5:$D$24,MATCH(C597,'Staff Master'!$A$5:$A$24,0)),"")</f>
        <v>Dental</v>
      </c>
      <c r="F597" s="16" t="str">
        <f aca="false">IFERROR(INDEX('Staff Master'!$E$5:$E$24,MATCH(C597,'Staff Master'!$A$5:$A$24,0)),"")</f>
        <v>Dental Assistant</v>
      </c>
      <c r="G597" s="10" t="s">
        <v>87</v>
      </c>
      <c r="H597" s="17" t="n">
        <f aca="false">IFERROR(INDEX('Shift Master'!$C$5:$C$16,MATCH(G597,'Shift Master'!$A$5:$A$16,0)),"")</f>
        <v>0.333333333333333</v>
      </c>
      <c r="I597" s="17" t="n">
        <f aca="false">IFERROR(INDEX('Shift Master'!$D$5:$D$16,MATCH(G597,'Shift Master'!$A$5:$A$16,0)),"")</f>
        <v>0.708333333333333</v>
      </c>
      <c r="J597" s="16" t="n">
        <f aca="false">IFERROR(INDEX('Shift Master'!$E$5:$E$16,MATCH(G597,'Shift Master'!$A$5:$A$16,0)),"")</f>
        <v>60</v>
      </c>
      <c r="K597" s="16" t="n">
        <f aca="false">IFERROR(INDEX('Shift Master'!$G$5:$G$16,MATCH(G597,'Shift Master'!$A$5:$A$16,0)),0)</f>
        <v>8</v>
      </c>
      <c r="L597" s="16" t="s">
        <v>228</v>
      </c>
      <c r="M597" s="16" t="s">
        <v>229</v>
      </c>
      <c r="N597" s="16" t="str">
        <f aca="false">IF(COUNTIFS('Staffing Coverage'!$A$5:$A$12,E597,'Staffing Coverage'!$B$5:$B$12,G597)=0,"",IF(COUNTIFS($A$5:$A$10004,A597,$E$5:$E$10004,E597,$G$5:$G$10004,G597)&lt;INDEX('Staffing Coverage'!$C$5:$C$12,MATCH(1,('Staffing Coverage'!$A$5:$A$12=E597)*('Staffing Coverage'!$B$5:$B$12=G597),0)),"SHORT","OK"))</f>
        <v>OK</v>
      </c>
    </row>
    <row r="598" customFormat="false" ht="15" hidden="false" customHeight="false" outlineLevel="0" collapsed="false">
      <c r="A598" s="15" t="n">
        <v>46325</v>
      </c>
      <c r="B598" s="16" t="str">
        <f aca="false">TEXT(A598,"ddd")</f>
        <v>Fri</v>
      </c>
      <c r="C598" s="10" t="s">
        <v>192</v>
      </c>
      <c r="D598" s="16" t="str">
        <f aca="false">IFERROR(INDEX('Staff Master'!$B$5:$B$24,MATCH(C598,'Staff Master'!$A$5:$A$24,0)),"")</f>
        <v>Noor Hassan</v>
      </c>
      <c r="E598" s="16" t="str">
        <f aca="false">IFERROR(INDEX('Staff Master'!$D$5:$D$24,MATCH(C598,'Staff Master'!$A$5:$A$24,0)),"")</f>
        <v>Dental</v>
      </c>
      <c r="F598" s="16" t="str">
        <f aca="false">IFERROR(INDEX('Staff Master'!$E$5:$E$24,MATCH(C598,'Staff Master'!$A$5:$A$24,0)),"")</f>
        <v>Dental Assistant</v>
      </c>
      <c r="G598" s="10" t="s">
        <v>90</v>
      </c>
      <c r="H598" s="17" t="n">
        <f aca="false">IFERROR(INDEX('Shift Master'!$C$5:$C$16,MATCH(G598,'Shift Master'!$A$5:$A$16,0)),"")</f>
        <v>0.375</v>
      </c>
      <c r="I598" s="17" t="n">
        <f aca="false">IFERROR(INDEX('Shift Master'!$D$5:$D$16,MATCH(G598,'Shift Master'!$A$5:$A$16,0)),"")</f>
        <v>0.75</v>
      </c>
      <c r="J598" s="16" t="n">
        <f aca="false">IFERROR(INDEX('Shift Master'!$E$5:$E$16,MATCH(G598,'Shift Master'!$A$5:$A$16,0)),"")</f>
        <v>60</v>
      </c>
      <c r="K598" s="16" t="n">
        <f aca="false">IFERROR(INDEX('Shift Master'!$G$5:$G$16,MATCH(G598,'Shift Master'!$A$5:$A$16,0)),0)</f>
        <v>8</v>
      </c>
      <c r="L598" s="16" t="s">
        <v>228</v>
      </c>
      <c r="M598" s="16" t="s">
        <v>229</v>
      </c>
      <c r="N598" s="16" t="str">
        <f aca="false">IF(COUNTIFS('Staffing Coverage'!$A$5:$A$12,E598,'Staffing Coverage'!$B$5:$B$12,G598)=0,"",IF(COUNTIFS($A$5:$A$10004,A598,$E$5:$E$10004,E598,$G$5:$G$10004,G598)&lt;INDEX('Staffing Coverage'!$C$5:$C$12,MATCH(1,('Staffing Coverage'!$A$5:$A$12=E598)*('Staffing Coverage'!$B$5:$B$12=G598),0)),"SHORT","OK"))</f>
        <v/>
      </c>
    </row>
    <row r="599" customFormat="false" ht="15" hidden="false" customHeight="false" outlineLevel="0" collapsed="false">
      <c r="A599" s="15" t="n">
        <v>46325</v>
      </c>
      <c r="B599" s="16" t="str">
        <f aca="false">TEXT(A599,"ddd")</f>
        <v>Fri</v>
      </c>
      <c r="C599" s="10" t="s">
        <v>196</v>
      </c>
      <c r="D599" s="16" t="str">
        <f aca="false">IFERROR(INDEX('Staff Master'!$B$5:$B$24,MATCH(C599,'Staff Master'!$A$5:$A$24,0)),"")</f>
        <v>Karan Mehta</v>
      </c>
      <c r="E599" s="16" t="str">
        <f aca="false">IFERROR(INDEX('Staff Master'!$D$5:$D$24,MATCH(C599,'Staff Master'!$A$5:$A$24,0)),"")</f>
        <v>Laser</v>
      </c>
      <c r="F599" s="16" t="str">
        <f aca="false">IFERROR(INDEX('Staff Master'!$E$5:$E$24,MATCH(C599,'Staff Master'!$A$5:$A$24,0)),"")</f>
        <v>Laser Technician</v>
      </c>
      <c r="G599" s="10" t="s">
        <v>97</v>
      </c>
      <c r="H599" s="17" t="n">
        <f aca="false">IFERROR(INDEX('Shift Master'!$C$5:$C$16,MATCH(G599,'Shift Master'!$A$5:$A$16,0)),"")</f>
        <v>0</v>
      </c>
      <c r="I599" s="17" t="n">
        <f aca="false">IFERROR(INDEX('Shift Master'!$D$5:$D$16,MATCH(G599,'Shift Master'!$A$5:$A$16,0)),"")</f>
        <v>0</v>
      </c>
      <c r="J599" s="16" t="n">
        <f aca="false">IFERROR(INDEX('Shift Master'!$E$5:$E$16,MATCH(G599,'Shift Master'!$A$5:$A$16,0)),"")</f>
        <v>0</v>
      </c>
      <c r="K599" s="16" t="n">
        <f aca="false">IFERROR(INDEX('Shift Master'!$G$5:$G$16,MATCH(G599,'Shift Master'!$A$5:$A$16,0)),0)</f>
        <v>0</v>
      </c>
      <c r="L599" s="16" t="s">
        <v>228</v>
      </c>
      <c r="M599" s="16" t="s">
        <v>229</v>
      </c>
      <c r="N599" s="16" t="str">
        <f aca="false">IF(COUNTIFS('Staffing Coverage'!$A$5:$A$12,E599,'Staffing Coverage'!$B$5:$B$12,G599)=0,"",IF(COUNTIFS($A$5:$A$10004,A599,$E$5:$E$10004,E599,$G$5:$G$10004,G599)&lt;INDEX('Staffing Coverage'!$C$5:$C$12,MATCH(1,('Staffing Coverage'!$A$5:$A$12=E599)*('Staffing Coverage'!$B$5:$B$12=G599),0)),"SHORT","OK"))</f>
        <v/>
      </c>
    </row>
    <row r="600" customFormat="false" ht="15" hidden="false" customHeight="false" outlineLevel="0" collapsed="false">
      <c r="A600" s="15" t="n">
        <v>46325</v>
      </c>
      <c r="B600" s="16" t="str">
        <f aca="false">TEXT(A600,"ddd")</f>
        <v>Fri</v>
      </c>
      <c r="C600" s="10" t="s">
        <v>200</v>
      </c>
      <c r="D600" s="16" t="str">
        <f aca="false">IFERROR(INDEX('Staff Master'!$B$5:$B$24,MATCH(C600,'Staff Master'!$A$5:$A$24,0)),"")</f>
        <v>Imran Sheikh</v>
      </c>
      <c r="E600" s="16" t="str">
        <f aca="false">IFERROR(INDEX('Staff Master'!$D$5:$D$24,MATCH(C600,'Staff Master'!$A$5:$A$24,0)),"")</f>
        <v>Dental Laboratory</v>
      </c>
      <c r="F600" s="16" t="str">
        <f aca="false">IFERROR(INDEX('Staff Master'!$E$5:$E$24,MATCH(C600,'Staff Master'!$A$5:$A$24,0)),"")</f>
        <v>Dental Technician</v>
      </c>
      <c r="G600" s="10" t="s">
        <v>87</v>
      </c>
      <c r="H600" s="17" t="n">
        <f aca="false">IFERROR(INDEX('Shift Master'!$C$5:$C$16,MATCH(G600,'Shift Master'!$A$5:$A$16,0)),"")</f>
        <v>0.333333333333333</v>
      </c>
      <c r="I600" s="17" t="n">
        <f aca="false">IFERROR(INDEX('Shift Master'!$D$5:$D$16,MATCH(G600,'Shift Master'!$A$5:$A$16,0)),"")</f>
        <v>0.708333333333333</v>
      </c>
      <c r="J600" s="16" t="n">
        <f aca="false">IFERROR(INDEX('Shift Master'!$E$5:$E$16,MATCH(G600,'Shift Master'!$A$5:$A$16,0)),"")</f>
        <v>60</v>
      </c>
      <c r="K600" s="16" t="n">
        <f aca="false">IFERROR(INDEX('Shift Master'!$G$5:$G$16,MATCH(G600,'Shift Master'!$A$5:$A$16,0)),0)</f>
        <v>8</v>
      </c>
      <c r="L600" s="16" t="s">
        <v>228</v>
      </c>
      <c r="M600" s="16" t="s">
        <v>229</v>
      </c>
      <c r="N600" s="16" t="str">
        <f aca="false">IF(COUNTIFS('Staffing Coverage'!$A$5:$A$12,E600,'Staffing Coverage'!$B$5:$B$12,G600)=0,"",IF(COUNTIFS($A$5:$A$10004,A600,$E$5:$E$10004,E600,$G$5:$G$10004,G600)&lt;INDEX('Staffing Coverage'!$C$5:$C$12,MATCH(1,('Staffing Coverage'!$A$5:$A$12=E600)*('Staffing Coverage'!$B$5:$B$12=G600),0)),"SHORT","OK"))</f>
        <v/>
      </c>
    </row>
    <row r="601" customFormat="false" ht="15" hidden="false" customHeight="false" outlineLevel="0" collapsed="false">
      <c r="A601" s="15" t="n">
        <v>46325</v>
      </c>
      <c r="B601" s="16" t="str">
        <f aca="false">TEXT(A601,"ddd")</f>
        <v>Fri</v>
      </c>
      <c r="C601" s="10" t="s">
        <v>204</v>
      </c>
      <c r="D601" s="16" t="str">
        <f aca="false">IFERROR(INDEX('Staff Master'!$B$5:$B$24,MATCH(C601,'Staff Master'!$A$5:$A$24,0)),"")</f>
        <v>Josephine Cruz</v>
      </c>
      <c r="E601" s="16" t="str">
        <f aca="false">IFERROR(INDEX('Staff Master'!$D$5:$D$24,MATCH(C601,'Staff Master'!$A$5:$A$24,0)),"")</f>
        <v>CSSD</v>
      </c>
      <c r="F601" s="16" t="str">
        <f aca="false">IFERROR(INDEX('Staff Master'!$E$5:$E$24,MATCH(C601,'Staff Master'!$A$5:$A$24,0)),"")</f>
        <v>CSSD Technician</v>
      </c>
      <c r="G601" s="10" t="s">
        <v>87</v>
      </c>
      <c r="H601" s="17" t="n">
        <f aca="false">IFERROR(INDEX('Shift Master'!$C$5:$C$16,MATCH(G601,'Shift Master'!$A$5:$A$16,0)),"")</f>
        <v>0.333333333333333</v>
      </c>
      <c r="I601" s="17" t="n">
        <f aca="false">IFERROR(INDEX('Shift Master'!$D$5:$D$16,MATCH(G601,'Shift Master'!$A$5:$A$16,0)),"")</f>
        <v>0.708333333333333</v>
      </c>
      <c r="J601" s="16" t="n">
        <f aca="false">IFERROR(INDEX('Shift Master'!$E$5:$E$16,MATCH(G601,'Shift Master'!$A$5:$A$16,0)),"")</f>
        <v>60</v>
      </c>
      <c r="K601" s="16" t="n">
        <f aca="false">IFERROR(INDEX('Shift Master'!$G$5:$G$16,MATCH(G601,'Shift Master'!$A$5:$A$16,0)),0)</f>
        <v>8</v>
      </c>
      <c r="L601" s="16" t="s">
        <v>228</v>
      </c>
      <c r="M601" s="16" t="s">
        <v>229</v>
      </c>
      <c r="N601" s="16" t="str">
        <f aca="false">IF(COUNTIFS('Staffing Coverage'!$A$5:$A$12,E601,'Staffing Coverage'!$B$5:$B$12,G601)=0,"",IF(COUNTIFS($A$5:$A$10004,A601,$E$5:$E$10004,E601,$G$5:$G$10004,G601)&lt;INDEX('Staffing Coverage'!$C$5:$C$12,MATCH(1,('Staffing Coverage'!$A$5:$A$12=E601)*('Staffing Coverage'!$B$5:$B$12=G601),0)),"SHORT","OK"))</f>
        <v>OK</v>
      </c>
    </row>
    <row r="602" customFormat="false" ht="15" hidden="false" customHeight="false" outlineLevel="0" collapsed="false">
      <c r="A602" s="15" t="n">
        <v>46325</v>
      </c>
      <c r="B602" s="16" t="str">
        <f aca="false">TEXT(A602,"ddd")</f>
        <v>Fri</v>
      </c>
      <c r="C602" s="10" t="s">
        <v>208</v>
      </c>
      <c r="D602" s="16" t="str">
        <f aca="false">IFERROR(INDEX('Staff Master'!$B$5:$B$24,MATCH(C602,'Staff Master'!$A$5:$A$24,0)),"")</f>
        <v>Rosalyn Tan</v>
      </c>
      <c r="E602" s="16" t="str">
        <f aca="false">IFERROR(INDEX('Staff Master'!$D$5:$D$24,MATCH(C602,'Staff Master'!$A$5:$A$24,0)),"")</f>
        <v>Cleaning</v>
      </c>
      <c r="F602" s="16" t="str">
        <f aca="false">IFERROR(INDEX('Staff Master'!$E$5:$E$24,MATCH(C602,'Staff Master'!$A$5:$A$24,0)),"")</f>
        <v>Cleaner</v>
      </c>
      <c r="G602" s="10" t="s">
        <v>87</v>
      </c>
      <c r="H602" s="17" t="n">
        <f aca="false">IFERROR(INDEX('Shift Master'!$C$5:$C$16,MATCH(G602,'Shift Master'!$A$5:$A$16,0)),"")</f>
        <v>0.333333333333333</v>
      </c>
      <c r="I602" s="17" t="n">
        <f aca="false">IFERROR(INDEX('Shift Master'!$D$5:$D$16,MATCH(G602,'Shift Master'!$A$5:$A$16,0)),"")</f>
        <v>0.708333333333333</v>
      </c>
      <c r="J602" s="16" t="n">
        <f aca="false">IFERROR(INDEX('Shift Master'!$E$5:$E$16,MATCH(G602,'Shift Master'!$A$5:$A$16,0)),"")</f>
        <v>60</v>
      </c>
      <c r="K602" s="16" t="n">
        <f aca="false">IFERROR(INDEX('Shift Master'!$G$5:$G$16,MATCH(G602,'Shift Master'!$A$5:$A$16,0)),0)</f>
        <v>8</v>
      </c>
      <c r="L602" s="16" t="s">
        <v>228</v>
      </c>
      <c r="M602" s="16" t="s">
        <v>229</v>
      </c>
      <c r="N602" s="16" t="str">
        <f aca="false">IF(COUNTIFS('Staffing Coverage'!$A$5:$A$12,E602,'Staffing Coverage'!$B$5:$B$12,G602)=0,"",IF(COUNTIFS($A$5:$A$10004,A602,$E$5:$E$10004,E602,$G$5:$G$10004,G602)&lt;INDEX('Staffing Coverage'!$C$5:$C$12,MATCH(1,('Staffing Coverage'!$A$5:$A$12=E602)*('Staffing Coverage'!$B$5:$B$12=G602),0)),"SHORT","OK"))</f>
        <v>OK</v>
      </c>
    </row>
    <row r="603" customFormat="false" ht="15" hidden="false" customHeight="false" outlineLevel="0" collapsed="false">
      <c r="A603" s="15" t="n">
        <v>46325</v>
      </c>
      <c r="B603" s="16" t="str">
        <f aca="false">TEXT(A603,"ddd")</f>
        <v>Fri</v>
      </c>
      <c r="C603" s="10" t="s">
        <v>212</v>
      </c>
      <c r="D603" s="16" t="str">
        <f aca="false">IFERROR(INDEX('Staff Master'!$B$5:$B$24,MATCH(C603,'Staff Master'!$A$5:$A$24,0)),"")</f>
        <v>Hassan Baig</v>
      </c>
      <c r="E603" s="16" t="str">
        <f aca="false">IFERROR(INDEX('Staff Master'!$D$5:$D$24,MATCH(C603,'Staff Master'!$A$5:$A$24,0)),"")</f>
        <v>Facilities</v>
      </c>
      <c r="F603" s="16" t="str">
        <f aca="false">IFERROR(INDEX('Staff Master'!$E$5:$E$24,MATCH(C603,'Staff Master'!$A$5:$A$24,0)),"")</f>
        <v>Facility Manager</v>
      </c>
      <c r="G603" s="10" t="s">
        <v>97</v>
      </c>
      <c r="H603" s="17" t="n">
        <f aca="false">IFERROR(INDEX('Shift Master'!$C$5:$C$16,MATCH(G603,'Shift Master'!$A$5:$A$16,0)),"")</f>
        <v>0</v>
      </c>
      <c r="I603" s="17" t="n">
        <f aca="false">IFERROR(INDEX('Shift Master'!$D$5:$D$16,MATCH(G603,'Shift Master'!$A$5:$A$16,0)),"")</f>
        <v>0</v>
      </c>
      <c r="J603" s="16" t="n">
        <f aca="false">IFERROR(INDEX('Shift Master'!$E$5:$E$16,MATCH(G603,'Shift Master'!$A$5:$A$16,0)),"")</f>
        <v>0</v>
      </c>
      <c r="K603" s="16" t="n">
        <f aca="false">IFERROR(INDEX('Shift Master'!$G$5:$G$16,MATCH(G603,'Shift Master'!$A$5:$A$16,0)),0)</f>
        <v>0</v>
      </c>
      <c r="L603" s="16" t="s">
        <v>228</v>
      </c>
      <c r="M603" s="16" t="s">
        <v>229</v>
      </c>
      <c r="N603" s="16" t="str">
        <f aca="false">IF(COUNTIFS('Staffing Coverage'!$A$5:$A$12,E603,'Staffing Coverage'!$B$5:$B$12,G603)=0,"",IF(COUNTIFS($A$5:$A$10004,A603,$E$5:$E$10004,E603,$G$5:$G$10004,G603)&lt;INDEX('Staffing Coverage'!$C$5:$C$12,MATCH(1,('Staffing Coverage'!$A$5:$A$12=E603)*('Staffing Coverage'!$B$5:$B$12=G603),0)),"SHORT","OK"))</f>
        <v/>
      </c>
    </row>
    <row r="604" customFormat="false" ht="15" hidden="false" customHeight="false" outlineLevel="0" collapsed="false">
      <c r="A604" s="15" t="n">
        <v>46325</v>
      </c>
      <c r="B604" s="16" t="str">
        <f aca="false">TEXT(A604,"ddd")</f>
        <v>Fri</v>
      </c>
      <c r="C604" s="10" t="s">
        <v>178</v>
      </c>
      <c r="D604" s="16" t="str">
        <f aca="false">IFERROR(INDEX('Staff Master'!$B$5:$B$24,MATCH(C604,'Staff Master'!$A$5:$A$24,0)),"")</f>
        <v>Meera Pillai</v>
      </c>
      <c r="E604" s="16" t="str">
        <f aca="false">IFERROR(INDEX('Staff Master'!$D$5:$D$24,MATCH(C604,'Staff Master'!$A$5:$A$24,0)),"")</f>
        <v>HR</v>
      </c>
      <c r="F604" s="16" t="str">
        <f aca="false">IFERROR(INDEX('Staff Master'!$E$5:$E$24,MATCH(C604,'Staff Master'!$A$5:$A$24,0)),"")</f>
        <v>HR Executive</v>
      </c>
      <c r="G604" s="10" t="s">
        <v>90</v>
      </c>
      <c r="H604" s="17" t="n">
        <f aca="false">IFERROR(INDEX('Shift Master'!$C$5:$C$16,MATCH(G604,'Shift Master'!$A$5:$A$16,0)),"")</f>
        <v>0.375</v>
      </c>
      <c r="I604" s="17" t="n">
        <f aca="false">IFERROR(INDEX('Shift Master'!$D$5:$D$16,MATCH(G604,'Shift Master'!$A$5:$A$16,0)),"")</f>
        <v>0.75</v>
      </c>
      <c r="J604" s="16" t="n">
        <f aca="false">IFERROR(INDEX('Shift Master'!$E$5:$E$16,MATCH(G604,'Shift Master'!$A$5:$A$16,0)),"")</f>
        <v>60</v>
      </c>
      <c r="K604" s="16" t="n">
        <f aca="false">IFERROR(INDEX('Shift Master'!$G$5:$G$16,MATCH(G604,'Shift Master'!$A$5:$A$16,0)),0)</f>
        <v>8</v>
      </c>
      <c r="L604" s="16" t="s">
        <v>228</v>
      </c>
      <c r="M604" s="16" t="s">
        <v>229</v>
      </c>
      <c r="N604" s="16" t="str">
        <f aca="false">IF(COUNTIFS('Staffing Coverage'!$A$5:$A$12,E604,'Staffing Coverage'!$B$5:$B$12,G604)=0,"",IF(COUNTIFS($A$5:$A$10004,A604,$E$5:$E$10004,E604,$G$5:$G$10004,G604)&lt;INDEX('Staffing Coverage'!$C$5:$C$12,MATCH(1,('Staffing Coverage'!$A$5:$A$12=E604)*('Staffing Coverage'!$B$5:$B$12=G604),0)),"SHORT","OK"))</f>
        <v/>
      </c>
    </row>
    <row r="605" customFormat="false" ht="15" hidden="false" customHeight="false" outlineLevel="0" collapsed="false">
      <c r="A605" s="15" t="n">
        <v>46326</v>
      </c>
      <c r="B605" s="16" t="str">
        <f aca="false">TEXT(A605,"ddd")</f>
        <v>Sat</v>
      </c>
      <c r="C605" s="10" t="s">
        <v>128</v>
      </c>
      <c r="D605" s="16" t="str">
        <f aca="false">IFERROR(INDEX('Staff Master'!$B$5:$B$24,MATCH(C605,'Staff Master'!$A$5:$A$24,0)),"")</f>
        <v>Rashid Al Nuaimi</v>
      </c>
      <c r="E605" s="16" t="str">
        <f aca="false">IFERROR(INDEX('Staff Master'!$D$5:$D$24,MATCH(C605,'Staff Master'!$A$5:$A$24,0)),"")</f>
        <v>Management</v>
      </c>
      <c r="F605" s="16" t="str">
        <f aca="false">IFERROR(INDEX('Staff Master'!$E$5:$E$24,MATCH(C605,'Staff Master'!$A$5:$A$24,0)),"")</f>
        <v>CEO</v>
      </c>
      <c r="G605" s="10" t="s">
        <v>97</v>
      </c>
      <c r="H605" s="17" t="n">
        <f aca="false">IFERROR(INDEX('Shift Master'!$C$5:$C$16,MATCH(G605,'Shift Master'!$A$5:$A$16,0)),"")</f>
        <v>0</v>
      </c>
      <c r="I605" s="17" t="n">
        <f aca="false">IFERROR(INDEX('Shift Master'!$D$5:$D$16,MATCH(G605,'Shift Master'!$A$5:$A$16,0)),"")</f>
        <v>0</v>
      </c>
      <c r="J605" s="16" t="n">
        <f aca="false">IFERROR(INDEX('Shift Master'!$E$5:$E$16,MATCH(G605,'Shift Master'!$A$5:$A$16,0)),"")</f>
        <v>0</v>
      </c>
      <c r="K605" s="16" t="n">
        <f aca="false">IFERROR(INDEX('Shift Master'!$G$5:$G$16,MATCH(G605,'Shift Master'!$A$5:$A$16,0)),0)</f>
        <v>0</v>
      </c>
      <c r="L605" s="16" t="s">
        <v>228</v>
      </c>
      <c r="M605" s="16" t="s">
        <v>229</v>
      </c>
      <c r="N605" s="16" t="str">
        <f aca="false">IF(COUNTIFS('Staffing Coverage'!$A$5:$A$12,E605,'Staffing Coverage'!$B$5:$B$12,G605)=0,"",IF(COUNTIFS($A$5:$A$10004,A605,$E$5:$E$10004,E605,$G$5:$G$10004,G605)&lt;INDEX('Staffing Coverage'!$C$5:$C$12,MATCH(1,('Staffing Coverage'!$A$5:$A$12=E605)*('Staffing Coverage'!$B$5:$B$12=G605),0)),"SHORT","OK"))</f>
        <v/>
      </c>
    </row>
    <row r="606" customFormat="false" ht="15" hidden="false" customHeight="false" outlineLevel="0" collapsed="false">
      <c r="A606" s="15" t="n">
        <v>46326</v>
      </c>
      <c r="B606" s="16" t="str">
        <f aca="false">TEXT(A606,"ddd")</f>
        <v>Sat</v>
      </c>
      <c r="C606" s="10" t="s">
        <v>137</v>
      </c>
      <c r="D606" s="16" t="str">
        <f aca="false">IFERROR(INDEX('Staff Master'!$B$5:$B$24,MATCH(C606,'Staff Master'!$A$5:$A$24,0)),"")</f>
        <v>Dr. Sara Haddad</v>
      </c>
      <c r="E606" s="16" t="str">
        <f aca="false">IFERROR(INDEX('Staff Master'!$D$5:$D$24,MATCH(C606,'Staff Master'!$A$5:$A$24,0)),"")</f>
        <v>General Practice</v>
      </c>
      <c r="F606" s="16" t="str">
        <f aca="false">IFERROR(INDEX('Staff Master'!$E$5:$E$24,MATCH(C606,'Staff Master'!$A$5:$A$24,0)),"")</f>
        <v>Medical Director</v>
      </c>
      <c r="G606" s="10" t="s">
        <v>96</v>
      </c>
      <c r="H606" s="17" t="n">
        <f aca="false">IFERROR(INDEX('Shift Master'!$C$5:$C$16,MATCH(G606,'Shift Master'!$A$5:$A$16,0)),"")</f>
        <v>0.375</v>
      </c>
      <c r="I606" s="17" t="n">
        <f aca="false">IFERROR(INDEX('Shift Master'!$D$5:$D$16,MATCH(G606,'Shift Master'!$A$5:$A$16,0)),"")</f>
        <v>0.708333333333333</v>
      </c>
      <c r="J606" s="16" t="n">
        <f aca="false">IFERROR(INDEX('Shift Master'!$E$5:$E$16,MATCH(G606,'Shift Master'!$A$5:$A$16,0)),"")</f>
        <v>60</v>
      </c>
      <c r="K606" s="16" t="n">
        <f aca="false">IFERROR(INDEX('Shift Master'!$G$5:$G$16,MATCH(G606,'Shift Master'!$A$5:$A$16,0)),0)</f>
        <v>7</v>
      </c>
      <c r="L606" s="16" t="s">
        <v>228</v>
      </c>
      <c r="M606" s="16" t="s">
        <v>229</v>
      </c>
      <c r="N606" s="16" t="str">
        <f aca="false">IF(COUNTIFS('Staffing Coverage'!$A$5:$A$12,E606,'Staffing Coverage'!$B$5:$B$12,G606)=0,"",IF(COUNTIFS($A$5:$A$10004,A606,$E$5:$E$10004,E606,$G$5:$G$10004,G606)&lt;INDEX('Staffing Coverage'!$C$5:$C$12,MATCH(1,('Staffing Coverage'!$A$5:$A$12=E606)*('Staffing Coverage'!$B$5:$B$12=G606),0)),"SHORT","OK"))</f>
        <v/>
      </c>
    </row>
    <row r="607" customFormat="false" ht="15" hidden="false" customHeight="false" outlineLevel="0" collapsed="false">
      <c r="A607" s="15" t="n">
        <v>46326</v>
      </c>
      <c r="B607" s="16" t="str">
        <f aca="false">TEXT(A607,"ddd")</f>
        <v>Sat</v>
      </c>
      <c r="C607" s="10" t="s">
        <v>142</v>
      </c>
      <c r="D607" s="16" t="str">
        <f aca="false">IFERROR(INDEX('Staff Master'!$B$5:$B$24,MATCH(C607,'Staff Master'!$A$5:$A$24,0)),"")</f>
        <v>Dr. Omar Khalil</v>
      </c>
      <c r="E607" s="16" t="str">
        <f aca="false">IFERROR(INDEX('Staff Master'!$D$5:$D$24,MATCH(C607,'Staff Master'!$A$5:$A$24,0)),"")</f>
        <v>General Practice</v>
      </c>
      <c r="F607" s="16" t="str">
        <f aca="false">IFERROR(INDEX('Staff Master'!$E$5:$E$24,MATCH(C607,'Staff Master'!$A$5:$A$24,0)),"")</f>
        <v>Doctor</v>
      </c>
      <c r="G607" s="10" t="s">
        <v>97</v>
      </c>
      <c r="H607" s="17" t="n">
        <f aca="false">IFERROR(INDEX('Shift Master'!$C$5:$C$16,MATCH(G607,'Shift Master'!$A$5:$A$16,0)),"")</f>
        <v>0</v>
      </c>
      <c r="I607" s="17" t="n">
        <f aca="false">IFERROR(INDEX('Shift Master'!$D$5:$D$16,MATCH(G607,'Shift Master'!$A$5:$A$16,0)),"")</f>
        <v>0</v>
      </c>
      <c r="J607" s="16" t="n">
        <f aca="false">IFERROR(INDEX('Shift Master'!$E$5:$E$16,MATCH(G607,'Shift Master'!$A$5:$A$16,0)),"")</f>
        <v>0</v>
      </c>
      <c r="K607" s="16" t="n">
        <f aca="false">IFERROR(INDEX('Shift Master'!$G$5:$G$16,MATCH(G607,'Shift Master'!$A$5:$A$16,0)),0)</f>
        <v>0</v>
      </c>
      <c r="L607" s="16" t="s">
        <v>228</v>
      </c>
      <c r="M607" s="16" t="s">
        <v>229</v>
      </c>
      <c r="N607" s="16" t="str">
        <f aca="false">IF(COUNTIFS('Staffing Coverage'!$A$5:$A$12,E607,'Staffing Coverage'!$B$5:$B$12,G607)=0,"",IF(COUNTIFS($A$5:$A$10004,A607,$E$5:$E$10004,E607,$G$5:$G$10004,G607)&lt;INDEX('Staffing Coverage'!$C$5:$C$12,MATCH(1,('Staffing Coverage'!$A$5:$A$12=E607)*('Staffing Coverage'!$B$5:$B$12=G607),0)),"SHORT","OK"))</f>
        <v/>
      </c>
    </row>
    <row r="608" customFormat="false" ht="15" hidden="false" customHeight="false" outlineLevel="0" collapsed="false">
      <c r="A608" s="15" t="n">
        <v>46326</v>
      </c>
      <c r="B608" s="16" t="str">
        <f aca="false">TEXT(A608,"ddd")</f>
        <v>Sat</v>
      </c>
      <c r="C608" s="10" t="s">
        <v>146</v>
      </c>
      <c r="D608" s="16" t="str">
        <f aca="false">IFERROR(INDEX('Staff Master'!$B$5:$B$24,MATCH(C608,'Staff Master'!$A$5:$A$24,0)),"")</f>
        <v>Dr. Lina Abboud</v>
      </c>
      <c r="E608" s="16" t="str">
        <f aca="false">IFERROR(INDEX('Staff Master'!$D$5:$D$24,MATCH(C608,'Staff Master'!$A$5:$A$24,0)),"")</f>
        <v>Dental</v>
      </c>
      <c r="F608" s="16" t="str">
        <f aca="false">IFERROR(INDEX('Staff Master'!$E$5:$E$24,MATCH(C608,'Staff Master'!$A$5:$A$24,0)),"")</f>
        <v>Dentist</v>
      </c>
      <c r="G608" s="10" t="s">
        <v>96</v>
      </c>
      <c r="H608" s="17" t="n">
        <f aca="false">IFERROR(INDEX('Shift Master'!$C$5:$C$16,MATCH(G608,'Shift Master'!$A$5:$A$16,0)),"")</f>
        <v>0.375</v>
      </c>
      <c r="I608" s="17" t="n">
        <f aca="false">IFERROR(INDEX('Shift Master'!$D$5:$D$16,MATCH(G608,'Shift Master'!$A$5:$A$16,0)),"")</f>
        <v>0.708333333333333</v>
      </c>
      <c r="J608" s="16" t="n">
        <f aca="false">IFERROR(INDEX('Shift Master'!$E$5:$E$16,MATCH(G608,'Shift Master'!$A$5:$A$16,0)),"")</f>
        <v>60</v>
      </c>
      <c r="K608" s="16" t="n">
        <f aca="false">IFERROR(INDEX('Shift Master'!$G$5:$G$16,MATCH(G608,'Shift Master'!$A$5:$A$16,0)),0)</f>
        <v>7</v>
      </c>
      <c r="L608" s="16" t="s">
        <v>228</v>
      </c>
      <c r="M608" s="16" t="s">
        <v>229</v>
      </c>
      <c r="N608" s="16" t="str">
        <f aca="false">IF(COUNTIFS('Staffing Coverage'!$A$5:$A$12,E608,'Staffing Coverage'!$B$5:$B$12,G608)=0,"",IF(COUNTIFS($A$5:$A$10004,A608,$E$5:$E$10004,E608,$G$5:$G$10004,G608)&lt;INDEX('Staffing Coverage'!$C$5:$C$12,MATCH(1,('Staffing Coverage'!$A$5:$A$12=E608)*('Staffing Coverage'!$B$5:$B$12=G608),0)),"SHORT","OK"))</f>
        <v/>
      </c>
    </row>
    <row r="609" customFormat="false" ht="15" hidden="false" customHeight="false" outlineLevel="0" collapsed="false">
      <c r="A609" s="15" t="n">
        <v>46326</v>
      </c>
      <c r="B609" s="16" t="str">
        <f aca="false">TEXT(A609,"ddd")</f>
        <v>Sat</v>
      </c>
      <c r="C609" s="10" t="s">
        <v>150</v>
      </c>
      <c r="D609" s="16" t="str">
        <f aca="false">IFERROR(INDEX('Staff Master'!$B$5:$B$24,MATCH(C609,'Staff Master'!$A$5:$A$24,0)),"")</f>
        <v>Dr. Farah Idris</v>
      </c>
      <c r="E609" s="16" t="str">
        <f aca="false">IFERROR(INDEX('Staff Master'!$D$5:$D$24,MATCH(C609,'Staff Master'!$A$5:$A$24,0)),"")</f>
        <v>Dental</v>
      </c>
      <c r="F609" s="16" t="str">
        <f aca="false">IFERROR(INDEX('Staff Master'!$E$5:$E$24,MATCH(C609,'Staff Master'!$A$5:$A$24,0)),"")</f>
        <v>Dentist</v>
      </c>
      <c r="G609" s="10" t="s">
        <v>96</v>
      </c>
      <c r="H609" s="17" t="n">
        <f aca="false">IFERROR(INDEX('Shift Master'!$C$5:$C$16,MATCH(G609,'Shift Master'!$A$5:$A$16,0)),"")</f>
        <v>0.375</v>
      </c>
      <c r="I609" s="17" t="n">
        <f aca="false">IFERROR(INDEX('Shift Master'!$D$5:$D$16,MATCH(G609,'Shift Master'!$A$5:$A$16,0)),"")</f>
        <v>0.708333333333333</v>
      </c>
      <c r="J609" s="16" t="n">
        <f aca="false">IFERROR(INDEX('Shift Master'!$E$5:$E$16,MATCH(G609,'Shift Master'!$A$5:$A$16,0)),"")</f>
        <v>60</v>
      </c>
      <c r="K609" s="16" t="n">
        <f aca="false">IFERROR(INDEX('Shift Master'!$G$5:$G$16,MATCH(G609,'Shift Master'!$A$5:$A$16,0)),0)</f>
        <v>7</v>
      </c>
      <c r="L609" s="16" t="s">
        <v>228</v>
      </c>
      <c r="M609" s="16" t="s">
        <v>229</v>
      </c>
      <c r="N609" s="16" t="str">
        <f aca="false">IF(COUNTIFS('Staffing Coverage'!$A$5:$A$12,E609,'Staffing Coverage'!$B$5:$B$12,G609)=0,"",IF(COUNTIFS($A$5:$A$10004,A609,$E$5:$E$10004,E609,$G$5:$G$10004,G609)&lt;INDEX('Staffing Coverage'!$C$5:$C$12,MATCH(1,('Staffing Coverage'!$A$5:$A$12=E609)*('Staffing Coverage'!$B$5:$B$12=G609),0)),"SHORT","OK"))</f>
        <v/>
      </c>
    </row>
    <row r="610" customFormat="false" ht="15" hidden="false" customHeight="false" outlineLevel="0" collapsed="false">
      <c r="A610" s="15" t="n">
        <v>46326</v>
      </c>
      <c r="B610" s="16" t="str">
        <f aca="false">TEXT(A610,"ddd")</f>
        <v>Sat</v>
      </c>
      <c r="C610" s="10" t="s">
        <v>157</v>
      </c>
      <c r="D610" s="16" t="str">
        <f aca="false">IFERROR(INDEX('Staff Master'!$B$5:$B$24,MATCH(C610,'Staff Master'!$A$5:$A$24,0)),"")</f>
        <v>Dr. Youssef Nassar</v>
      </c>
      <c r="E610" s="16" t="str">
        <f aca="false">IFERROR(INDEX('Staff Master'!$D$5:$D$24,MATCH(C610,'Staff Master'!$A$5:$A$24,0)),"")</f>
        <v>General Practice</v>
      </c>
      <c r="F610" s="16" t="str">
        <f aca="false">IFERROR(INDEX('Staff Master'!$E$5:$E$24,MATCH(C610,'Staff Master'!$A$5:$A$24,0)),"")</f>
        <v>General Practitioner</v>
      </c>
      <c r="G610" s="10" t="s">
        <v>97</v>
      </c>
      <c r="H610" s="17" t="n">
        <f aca="false">IFERROR(INDEX('Shift Master'!$C$5:$C$16,MATCH(G610,'Shift Master'!$A$5:$A$16,0)),"")</f>
        <v>0</v>
      </c>
      <c r="I610" s="17" t="n">
        <f aca="false">IFERROR(INDEX('Shift Master'!$D$5:$D$16,MATCH(G610,'Shift Master'!$A$5:$A$16,0)),"")</f>
        <v>0</v>
      </c>
      <c r="J610" s="16" t="n">
        <f aca="false">IFERROR(INDEX('Shift Master'!$E$5:$E$16,MATCH(G610,'Shift Master'!$A$5:$A$16,0)),"")</f>
        <v>0</v>
      </c>
      <c r="K610" s="16" t="n">
        <f aca="false">IFERROR(INDEX('Shift Master'!$G$5:$G$16,MATCH(G610,'Shift Master'!$A$5:$A$16,0)),0)</f>
        <v>0</v>
      </c>
      <c r="L610" s="16" t="s">
        <v>228</v>
      </c>
      <c r="M610" s="16" t="s">
        <v>229</v>
      </c>
      <c r="N610" s="16" t="str">
        <f aca="false">IF(COUNTIFS('Staffing Coverage'!$A$5:$A$12,E610,'Staffing Coverage'!$B$5:$B$12,G610)=0,"",IF(COUNTIFS($A$5:$A$10004,A610,$E$5:$E$10004,E610,$G$5:$G$10004,G610)&lt;INDEX('Staffing Coverage'!$C$5:$C$12,MATCH(1,('Staffing Coverage'!$A$5:$A$12=E610)*('Staffing Coverage'!$B$5:$B$12=G610),0)),"SHORT","OK"))</f>
        <v/>
      </c>
    </row>
    <row r="611" customFormat="false" ht="15" hidden="false" customHeight="false" outlineLevel="0" collapsed="false">
      <c r="A611" s="15" t="n">
        <v>46326</v>
      </c>
      <c r="B611" s="16" t="str">
        <f aca="false">TEXT(A611,"ddd")</f>
        <v>Sat</v>
      </c>
      <c r="C611" s="10" t="s">
        <v>161</v>
      </c>
      <c r="D611" s="16" t="str">
        <f aca="false">IFERROR(INDEX('Staff Master'!$B$5:$B$24,MATCH(C611,'Staff Master'!$A$5:$A$24,0)),"")</f>
        <v>Grace Fernandez</v>
      </c>
      <c r="E611" s="16" t="str">
        <f aca="false">IFERROR(INDEX('Staff Master'!$D$5:$D$24,MATCH(C611,'Staff Master'!$A$5:$A$24,0)),"")</f>
        <v>Nursing</v>
      </c>
      <c r="F611" s="16" t="str">
        <f aca="false">IFERROR(INDEX('Staff Master'!$E$5:$E$24,MATCH(C611,'Staff Master'!$A$5:$A$24,0)),"")</f>
        <v>Nurse</v>
      </c>
      <c r="G611" s="10" t="s">
        <v>87</v>
      </c>
      <c r="H611" s="17" t="n">
        <f aca="false">IFERROR(INDEX('Shift Master'!$C$5:$C$16,MATCH(G611,'Shift Master'!$A$5:$A$16,0)),"")</f>
        <v>0.333333333333333</v>
      </c>
      <c r="I611" s="17" t="n">
        <f aca="false">IFERROR(INDEX('Shift Master'!$D$5:$D$16,MATCH(G611,'Shift Master'!$A$5:$A$16,0)),"")</f>
        <v>0.708333333333333</v>
      </c>
      <c r="J611" s="16" t="n">
        <f aca="false">IFERROR(INDEX('Shift Master'!$E$5:$E$16,MATCH(G611,'Shift Master'!$A$5:$A$16,0)),"")</f>
        <v>60</v>
      </c>
      <c r="K611" s="16" t="n">
        <f aca="false">IFERROR(INDEX('Shift Master'!$G$5:$G$16,MATCH(G611,'Shift Master'!$A$5:$A$16,0)),0)</f>
        <v>8</v>
      </c>
      <c r="L611" s="16" t="s">
        <v>228</v>
      </c>
      <c r="M611" s="16" t="s">
        <v>229</v>
      </c>
      <c r="N611" s="16" t="str">
        <f aca="false">IF(COUNTIFS('Staffing Coverage'!$A$5:$A$12,E611,'Staffing Coverage'!$B$5:$B$12,G611)=0,"",IF(COUNTIFS($A$5:$A$10004,A611,$E$5:$E$10004,E611,$G$5:$G$10004,G611)&lt;INDEX('Staffing Coverage'!$C$5:$C$12,MATCH(1,('Staffing Coverage'!$A$5:$A$12=E611)*('Staffing Coverage'!$B$5:$B$12=G611),0)),"SHORT","OK"))</f>
        <v>OK</v>
      </c>
    </row>
    <row r="612" customFormat="false" ht="15" hidden="false" customHeight="false" outlineLevel="0" collapsed="false">
      <c r="A612" s="15" t="n">
        <v>46326</v>
      </c>
      <c r="B612" s="16" t="str">
        <f aca="false">TEXT(A612,"ddd")</f>
        <v>Sat</v>
      </c>
      <c r="C612" s="10" t="s">
        <v>165</v>
      </c>
      <c r="D612" s="16" t="str">
        <f aca="false">IFERROR(INDEX('Staff Master'!$B$5:$B$24,MATCH(C612,'Staff Master'!$A$5:$A$24,0)),"")</f>
        <v>Priya Nair</v>
      </c>
      <c r="E612" s="16" t="str">
        <f aca="false">IFERROR(INDEX('Staff Master'!$D$5:$D$24,MATCH(C612,'Staff Master'!$A$5:$A$24,0)),"")</f>
        <v>Nursing</v>
      </c>
      <c r="F612" s="16" t="str">
        <f aca="false">IFERROR(INDEX('Staff Master'!$E$5:$E$24,MATCH(C612,'Staff Master'!$A$5:$A$24,0)),"")</f>
        <v>Nurse</v>
      </c>
      <c r="G612" s="10" t="s">
        <v>90</v>
      </c>
      <c r="H612" s="17" t="n">
        <f aca="false">IFERROR(INDEX('Shift Master'!$C$5:$C$16,MATCH(G612,'Shift Master'!$A$5:$A$16,0)),"")</f>
        <v>0.375</v>
      </c>
      <c r="I612" s="17" t="n">
        <f aca="false">IFERROR(INDEX('Shift Master'!$D$5:$D$16,MATCH(G612,'Shift Master'!$A$5:$A$16,0)),"")</f>
        <v>0.75</v>
      </c>
      <c r="J612" s="16" t="n">
        <f aca="false">IFERROR(INDEX('Shift Master'!$E$5:$E$16,MATCH(G612,'Shift Master'!$A$5:$A$16,0)),"")</f>
        <v>60</v>
      </c>
      <c r="K612" s="16" t="n">
        <f aca="false">IFERROR(INDEX('Shift Master'!$G$5:$G$16,MATCH(G612,'Shift Master'!$A$5:$A$16,0)),0)</f>
        <v>8</v>
      </c>
      <c r="L612" s="16" t="s">
        <v>228</v>
      </c>
      <c r="M612" s="16" t="s">
        <v>229</v>
      </c>
      <c r="N612" s="16" t="str">
        <f aca="false">IF(COUNTIFS('Staffing Coverage'!$A$5:$A$12,E612,'Staffing Coverage'!$B$5:$B$12,G612)=0,"",IF(COUNTIFS($A$5:$A$10004,A612,$E$5:$E$10004,E612,$G$5:$G$10004,G612)&lt;INDEX('Staffing Coverage'!$C$5:$C$12,MATCH(1,('Staffing Coverage'!$A$5:$A$12=E612)*('Staffing Coverage'!$B$5:$B$12=G612),0)),"SHORT","OK"))</f>
        <v>OK</v>
      </c>
    </row>
    <row r="613" customFormat="false" ht="15" hidden="false" customHeight="false" outlineLevel="0" collapsed="false">
      <c r="A613" s="15" t="n">
        <v>46326</v>
      </c>
      <c r="B613" s="16" t="str">
        <f aca="false">TEXT(A613,"ddd")</f>
        <v>Sat</v>
      </c>
      <c r="C613" s="10" t="s">
        <v>170</v>
      </c>
      <c r="D613" s="16" t="str">
        <f aca="false">IFERROR(INDEX('Staff Master'!$B$5:$B$24,MATCH(C613,'Staff Master'!$A$5:$A$24,0)),"")</f>
        <v>Maria Santos</v>
      </c>
      <c r="E613" s="16" t="str">
        <f aca="false">IFERROR(INDEX('Staff Master'!$D$5:$D$24,MATCH(C613,'Staff Master'!$A$5:$A$24,0)),"")</f>
        <v>Nursing</v>
      </c>
      <c r="F613" s="16" t="str">
        <f aca="false">IFERROR(INDEX('Staff Master'!$E$5:$E$24,MATCH(C613,'Staff Master'!$A$5:$A$24,0)),"")</f>
        <v>Nurse</v>
      </c>
      <c r="G613" s="10" t="s">
        <v>97</v>
      </c>
      <c r="H613" s="17" t="n">
        <f aca="false">IFERROR(INDEX('Shift Master'!$C$5:$C$16,MATCH(G613,'Shift Master'!$A$5:$A$16,0)),"")</f>
        <v>0</v>
      </c>
      <c r="I613" s="17" t="n">
        <f aca="false">IFERROR(INDEX('Shift Master'!$D$5:$D$16,MATCH(G613,'Shift Master'!$A$5:$A$16,0)),"")</f>
        <v>0</v>
      </c>
      <c r="J613" s="16" t="n">
        <f aca="false">IFERROR(INDEX('Shift Master'!$E$5:$E$16,MATCH(G613,'Shift Master'!$A$5:$A$16,0)),"")</f>
        <v>0</v>
      </c>
      <c r="K613" s="16" t="n">
        <f aca="false">IFERROR(INDEX('Shift Master'!$G$5:$G$16,MATCH(G613,'Shift Master'!$A$5:$A$16,0)),0)</f>
        <v>0</v>
      </c>
      <c r="L613" s="16" t="s">
        <v>228</v>
      </c>
      <c r="M613" s="16" t="s">
        <v>229</v>
      </c>
      <c r="N613" s="16" t="str">
        <f aca="false">IF(COUNTIFS('Staffing Coverage'!$A$5:$A$12,E613,'Staffing Coverage'!$B$5:$B$12,G613)=0,"",IF(COUNTIFS($A$5:$A$10004,A613,$E$5:$E$10004,E613,$G$5:$G$10004,G613)&lt;INDEX('Staffing Coverage'!$C$5:$C$12,MATCH(1,('Staffing Coverage'!$A$5:$A$12=E613)*('Staffing Coverage'!$B$5:$B$12=G613),0)),"SHORT","OK"))</f>
        <v/>
      </c>
    </row>
    <row r="614" customFormat="false" ht="15" hidden="false" customHeight="false" outlineLevel="0" collapsed="false">
      <c r="A614" s="15" t="n">
        <v>46326</v>
      </c>
      <c r="B614" s="16" t="str">
        <f aca="false">TEXT(A614,"ddd")</f>
        <v>Sat</v>
      </c>
      <c r="C614" s="10" t="s">
        <v>174</v>
      </c>
      <c r="D614" s="16" t="str">
        <f aca="false">IFERROR(INDEX('Staff Master'!$B$5:$B$24,MATCH(C614,'Staff Master'!$A$5:$A$24,0)),"")</f>
        <v>Aisha Al Shamsi</v>
      </c>
      <c r="E614" s="16" t="str">
        <f aca="false">IFERROR(INDEX('Staff Master'!$D$5:$D$24,MATCH(C614,'Staff Master'!$A$5:$A$24,0)),"")</f>
        <v>Reception</v>
      </c>
      <c r="F614" s="16" t="str">
        <f aca="false">IFERROR(INDEX('Staff Master'!$E$5:$E$24,MATCH(C614,'Staff Master'!$A$5:$A$24,0)),"")</f>
        <v>Receptionist</v>
      </c>
      <c r="G614" s="10" t="s">
        <v>87</v>
      </c>
      <c r="H614" s="17" t="n">
        <f aca="false">IFERROR(INDEX('Shift Master'!$C$5:$C$16,MATCH(G614,'Shift Master'!$A$5:$A$16,0)),"")</f>
        <v>0.333333333333333</v>
      </c>
      <c r="I614" s="17" t="n">
        <f aca="false">IFERROR(INDEX('Shift Master'!$D$5:$D$16,MATCH(G614,'Shift Master'!$A$5:$A$16,0)),"")</f>
        <v>0.708333333333333</v>
      </c>
      <c r="J614" s="16" t="n">
        <f aca="false">IFERROR(INDEX('Shift Master'!$E$5:$E$16,MATCH(G614,'Shift Master'!$A$5:$A$16,0)),"")</f>
        <v>60</v>
      </c>
      <c r="K614" s="16" t="n">
        <f aca="false">IFERROR(INDEX('Shift Master'!$G$5:$G$16,MATCH(G614,'Shift Master'!$A$5:$A$16,0)),0)</f>
        <v>8</v>
      </c>
      <c r="L614" s="16" t="s">
        <v>228</v>
      </c>
      <c r="M614" s="16" t="s">
        <v>229</v>
      </c>
      <c r="N614" s="16" t="str">
        <f aca="false">IF(COUNTIFS('Staffing Coverage'!$A$5:$A$12,E614,'Staffing Coverage'!$B$5:$B$12,G614)=0,"",IF(COUNTIFS($A$5:$A$10004,A614,$E$5:$E$10004,E614,$G$5:$G$10004,G614)&lt;INDEX('Staffing Coverage'!$C$5:$C$12,MATCH(1,('Staffing Coverage'!$A$5:$A$12=E614)*('Staffing Coverage'!$B$5:$B$12=G614),0)),"SHORT","OK"))</f>
        <v>SHORT</v>
      </c>
    </row>
    <row r="615" customFormat="false" ht="15" hidden="false" customHeight="false" outlineLevel="0" collapsed="false">
      <c r="A615" s="15" t="n">
        <v>46326</v>
      </c>
      <c r="B615" s="16" t="str">
        <f aca="false">TEXT(A615,"ddd")</f>
        <v>Sat</v>
      </c>
      <c r="C615" s="10" t="s">
        <v>179</v>
      </c>
      <c r="D615" s="16" t="str">
        <f aca="false">IFERROR(INDEX('Staff Master'!$B$5:$B$24,MATCH(C615,'Staff Master'!$A$5:$A$24,0)),"")</f>
        <v>John Dsouza</v>
      </c>
      <c r="E615" s="16" t="str">
        <f aca="false">IFERROR(INDEX('Staff Master'!$D$5:$D$24,MATCH(C615,'Staff Master'!$A$5:$A$24,0)),"")</f>
        <v>Reception</v>
      </c>
      <c r="F615" s="16" t="str">
        <f aca="false">IFERROR(INDEX('Staff Master'!$E$5:$E$24,MATCH(C615,'Staff Master'!$A$5:$A$24,0)),"")</f>
        <v>Receptionist</v>
      </c>
      <c r="G615" s="10" t="s">
        <v>90</v>
      </c>
      <c r="H615" s="17" t="n">
        <f aca="false">IFERROR(INDEX('Shift Master'!$C$5:$C$16,MATCH(G615,'Shift Master'!$A$5:$A$16,0)),"")</f>
        <v>0.375</v>
      </c>
      <c r="I615" s="17" t="n">
        <f aca="false">IFERROR(INDEX('Shift Master'!$D$5:$D$16,MATCH(G615,'Shift Master'!$A$5:$A$16,0)),"")</f>
        <v>0.75</v>
      </c>
      <c r="J615" s="16" t="n">
        <f aca="false">IFERROR(INDEX('Shift Master'!$E$5:$E$16,MATCH(G615,'Shift Master'!$A$5:$A$16,0)),"")</f>
        <v>60</v>
      </c>
      <c r="K615" s="16" t="n">
        <f aca="false">IFERROR(INDEX('Shift Master'!$G$5:$G$16,MATCH(G615,'Shift Master'!$A$5:$A$16,0)),0)</f>
        <v>8</v>
      </c>
      <c r="L615" s="16" t="s">
        <v>228</v>
      </c>
      <c r="M615" s="16" t="s">
        <v>229</v>
      </c>
      <c r="N615" s="16" t="str">
        <f aca="false">IF(COUNTIFS('Staffing Coverage'!$A$5:$A$12,E615,'Staffing Coverage'!$B$5:$B$12,G615)=0,"",IF(COUNTIFS($A$5:$A$10004,A615,$E$5:$E$10004,E615,$G$5:$G$10004,G615)&lt;INDEX('Staffing Coverage'!$C$5:$C$12,MATCH(1,('Staffing Coverage'!$A$5:$A$12=E615)*('Staffing Coverage'!$B$5:$B$12=G615),0)),"SHORT","OK"))</f>
        <v>SHORT</v>
      </c>
    </row>
    <row r="616" customFormat="false" ht="15" hidden="false" customHeight="false" outlineLevel="0" collapsed="false">
      <c r="A616" s="15" t="n">
        <v>46326</v>
      </c>
      <c r="B616" s="16" t="str">
        <f aca="false">TEXT(A616,"ddd")</f>
        <v>Sat</v>
      </c>
      <c r="C616" s="10" t="s">
        <v>184</v>
      </c>
      <c r="D616" s="16" t="str">
        <f aca="false">IFERROR(INDEX('Staff Master'!$B$5:$B$24,MATCH(C616,'Staff Master'!$A$5:$A$24,0)),"")</f>
        <v>Fatima Zahra</v>
      </c>
      <c r="E616" s="16" t="str">
        <f aca="false">IFERROR(INDEX('Staff Master'!$D$5:$D$24,MATCH(C616,'Staff Master'!$A$5:$A$24,0)),"")</f>
        <v>Reception</v>
      </c>
      <c r="F616" s="16" t="str">
        <f aca="false">IFERROR(INDEX('Staff Master'!$E$5:$E$24,MATCH(C616,'Staff Master'!$A$5:$A$24,0)),"")</f>
        <v>Receptionist</v>
      </c>
      <c r="G616" s="10" t="s">
        <v>97</v>
      </c>
      <c r="H616" s="17" t="n">
        <f aca="false">IFERROR(INDEX('Shift Master'!$C$5:$C$16,MATCH(G616,'Shift Master'!$A$5:$A$16,0)),"")</f>
        <v>0</v>
      </c>
      <c r="I616" s="17" t="n">
        <f aca="false">IFERROR(INDEX('Shift Master'!$D$5:$D$16,MATCH(G616,'Shift Master'!$A$5:$A$16,0)),"")</f>
        <v>0</v>
      </c>
      <c r="J616" s="16" t="n">
        <f aca="false">IFERROR(INDEX('Shift Master'!$E$5:$E$16,MATCH(G616,'Shift Master'!$A$5:$A$16,0)),"")</f>
        <v>0</v>
      </c>
      <c r="K616" s="16" t="n">
        <f aca="false">IFERROR(INDEX('Shift Master'!$G$5:$G$16,MATCH(G616,'Shift Master'!$A$5:$A$16,0)),0)</f>
        <v>0</v>
      </c>
      <c r="L616" s="16" t="s">
        <v>228</v>
      </c>
      <c r="M616" s="16" t="s">
        <v>229</v>
      </c>
      <c r="N616" s="16" t="str">
        <f aca="false">IF(COUNTIFS('Staffing Coverage'!$A$5:$A$12,E616,'Staffing Coverage'!$B$5:$B$12,G616)=0,"",IF(COUNTIFS($A$5:$A$10004,A616,$E$5:$E$10004,E616,$G$5:$G$10004,G616)&lt;INDEX('Staffing Coverage'!$C$5:$C$12,MATCH(1,('Staffing Coverage'!$A$5:$A$12=E616)*('Staffing Coverage'!$B$5:$B$12=G616),0)),"SHORT","OK"))</f>
        <v/>
      </c>
    </row>
    <row r="617" customFormat="false" ht="15" hidden="false" customHeight="false" outlineLevel="0" collapsed="false">
      <c r="A617" s="15" t="n">
        <v>46326</v>
      </c>
      <c r="B617" s="16" t="str">
        <f aca="false">TEXT(A617,"ddd")</f>
        <v>Sat</v>
      </c>
      <c r="C617" s="10" t="s">
        <v>188</v>
      </c>
      <c r="D617" s="16" t="str">
        <f aca="false">IFERROR(INDEX('Staff Master'!$B$5:$B$24,MATCH(C617,'Staff Master'!$A$5:$A$24,0)),"")</f>
        <v>Ana Reyes</v>
      </c>
      <c r="E617" s="16" t="str">
        <f aca="false">IFERROR(INDEX('Staff Master'!$D$5:$D$24,MATCH(C617,'Staff Master'!$A$5:$A$24,0)),"")</f>
        <v>Dental</v>
      </c>
      <c r="F617" s="16" t="str">
        <f aca="false">IFERROR(INDEX('Staff Master'!$E$5:$E$24,MATCH(C617,'Staff Master'!$A$5:$A$24,0)),"")</f>
        <v>Dental Assistant</v>
      </c>
      <c r="G617" s="10" t="s">
        <v>87</v>
      </c>
      <c r="H617" s="17" t="n">
        <f aca="false">IFERROR(INDEX('Shift Master'!$C$5:$C$16,MATCH(G617,'Shift Master'!$A$5:$A$16,0)),"")</f>
        <v>0.333333333333333</v>
      </c>
      <c r="I617" s="17" t="n">
        <f aca="false">IFERROR(INDEX('Shift Master'!$D$5:$D$16,MATCH(G617,'Shift Master'!$A$5:$A$16,0)),"")</f>
        <v>0.708333333333333</v>
      </c>
      <c r="J617" s="16" t="n">
        <f aca="false">IFERROR(INDEX('Shift Master'!$E$5:$E$16,MATCH(G617,'Shift Master'!$A$5:$A$16,0)),"")</f>
        <v>60</v>
      </c>
      <c r="K617" s="16" t="n">
        <f aca="false">IFERROR(INDEX('Shift Master'!$G$5:$G$16,MATCH(G617,'Shift Master'!$A$5:$A$16,0)),0)</f>
        <v>8</v>
      </c>
      <c r="L617" s="16" t="s">
        <v>228</v>
      </c>
      <c r="M617" s="16" t="s">
        <v>229</v>
      </c>
      <c r="N617" s="16" t="str">
        <f aca="false">IF(COUNTIFS('Staffing Coverage'!$A$5:$A$12,E617,'Staffing Coverage'!$B$5:$B$12,G617)=0,"",IF(COUNTIFS($A$5:$A$10004,A617,$E$5:$E$10004,E617,$G$5:$G$10004,G617)&lt;INDEX('Staffing Coverage'!$C$5:$C$12,MATCH(1,('Staffing Coverage'!$A$5:$A$12=E617)*('Staffing Coverage'!$B$5:$B$12=G617),0)),"SHORT","OK"))</f>
        <v>OK</v>
      </c>
    </row>
    <row r="618" customFormat="false" ht="15" hidden="false" customHeight="false" outlineLevel="0" collapsed="false">
      <c r="A618" s="15" t="n">
        <v>46326</v>
      </c>
      <c r="B618" s="16" t="str">
        <f aca="false">TEXT(A618,"ddd")</f>
        <v>Sat</v>
      </c>
      <c r="C618" s="10" t="s">
        <v>192</v>
      </c>
      <c r="D618" s="16" t="str">
        <f aca="false">IFERROR(INDEX('Staff Master'!$B$5:$B$24,MATCH(C618,'Staff Master'!$A$5:$A$24,0)),"")</f>
        <v>Noor Hassan</v>
      </c>
      <c r="E618" s="16" t="str">
        <f aca="false">IFERROR(INDEX('Staff Master'!$D$5:$D$24,MATCH(C618,'Staff Master'!$A$5:$A$24,0)),"")</f>
        <v>Dental</v>
      </c>
      <c r="F618" s="16" t="str">
        <f aca="false">IFERROR(INDEX('Staff Master'!$E$5:$E$24,MATCH(C618,'Staff Master'!$A$5:$A$24,0)),"")</f>
        <v>Dental Assistant</v>
      </c>
      <c r="G618" s="10" t="s">
        <v>97</v>
      </c>
      <c r="H618" s="17" t="n">
        <f aca="false">IFERROR(INDEX('Shift Master'!$C$5:$C$16,MATCH(G618,'Shift Master'!$A$5:$A$16,0)),"")</f>
        <v>0</v>
      </c>
      <c r="I618" s="17" t="n">
        <f aca="false">IFERROR(INDEX('Shift Master'!$D$5:$D$16,MATCH(G618,'Shift Master'!$A$5:$A$16,0)),"")</f>
        <v>0</v>
      </c>
      <c r="J618" s="16" t="n">
        <f aca="false">IFERROR(INDEX('Shift Master'!$E$5:$E$16,MATCH(G618,'Shift Master'!$A$5:$A$16,0)),"")</f>
        <v>0</v>
      </c>
      <c r="K618" s="16" t="n">
        <f aca="false">IFERROR(INDEX('Shift Master'!$G$5:$G$16,MATCH(G618,'Shift Master'!$A$5:$A$16,0)),0)</f>
        <v>0</v>
      </c>
      <c r="L618" s="16" t="s">
        <v>228</v>
      </c>
      <c r="M618" s="16" t="s">
        <v>229</v>
      </c>
      <c r="N618" s="16" t="str">
        <f aca="false">IF(COUNTIFS('Staffing Coverage'!$A$5:$A$12,E618,'Staffing Coverage'!$B$5:$B$12,G618)=0,"",IF(COUNTIFS($A$5:$A$10004,A618,$E$5:$E$10004,E618,$G$5:$G$10004,G618)&lt;INDEX('Staffing Coverage'!$C$5:$C$12,MATCH(1,('Staffing Coverage'!$A$5:$A$12=E618)*('Staffing Coverage'!$B$5:$B$12=G618),0)),"SHORT","OK"))</f>
        <v/>
      </c>
    </row>
    <row r="619" customFormat="false" ht="15" hidden="false" customHeight="false" outlineLevel="0" collapsed="false">
      <c r="A619" s="15" t="n">
        <v>46326</v>
      </c>
      <c r="B619" s="16" t="str">
        <f aca="false">TEXT(A619,"ddd")</f>
        <v>Sat</v>
      </c>
      <c r="C619" s="10" t="s">
        <v>196</v>
      </c>
      <c r="D619" s="16" t="str">
        <f aca="false">IFERROR(INDEX('Staff Master'!$B$5:$B$24,MATCH(C619,'Staff Master'!$A$5:$A$24,0)),"")</f>
        <v>Karan Mehta</v>
      </c>
      <c r="E619" s="16" t="str">
        <f aca="false">IFERROR(INDEX('Staff Master'!$D$5:$D$24,MATCH(C619,'Staff Master'!$A$5:$A$24,0)),"")</f>
        <v>Laser</v>
      </c>
      <c r="F619" s="16" t="str">
        <f aca="false">IFERROR(INDEX('Staff Master'!$E$5:$E$24,MATCH(C619,'Staff Master'!$A$5:$A$24,0)),"")</f>
        <v>Laser Technician</v>
      </c>
      <c r="G619" s="10" t="s">
        <v>90</v>
      </c>
      <c r="H619" s="17" t="n">
        <f aca="false">IFERROR(INDEX('Shift Master'!$C$5:$C$16,MATCH(G619,'Shift Master'!$A$5:$A$16,0)),"")</f>
        <v>0.375</v>
      </c>
      <c r="I619" s="17" t="n">
        <f aca="false">IFERROR(INDEX('Shift Master'!$D$5:$D$16,MATCH(G619,'Shift Master'!$A$5:$A$16,0)),"")</f>
        <v>0.75</v>
      </c>
      <c r="J619" s="16" t="n">
        <f aca="false">IFERROR(INDEX('Shift Master'!$E$5:$E$16,MATCH(G619,'Shift Master'!$A$5:$A$16,0)),"")</f>
        <v>60</v>
      </c>
      <c r="K619" s="16" t="n">
        <f aca="false">IFERROR(INDEX('Shift Master'!$G$5:$G$16,MATCH(G619,'Shift Master'!$A$5:$A$16,0)),0)</f>
        <v>8</v>
      </c>
      <c r="L619" s="16" t="s">
        <v>228</v>
      </c>
      <c r="M619" s="16" t="s">
        <v>229</v>
      </c>
      <c r="N619" s="16" t="str">
        <f aca="false">IF(COUNTIFS('Staffing Coverage'!$A$5:$A$12,E619,'Staffing Coverage'!$B$5:$B$12,G619)=0,"",IF(COUNTIFS($A$5:$A$10004,A619,$E$5:$E$10004,E619,$G$5:$G$10004,G619)&lt;INDEX('Staffing Coverage'!$C$5:$C$12,MATCH(1,('Staffing Coverage'!$A$5:$A$12=E619)*('Staffing Coverage'!$B$5:$B$12=G619),0)),"SHORT","OK"))</f>
        <v/>
      </c>
    </row>
    <row r="620" customFormat="false" ht="15" hidden="false" customHeight="false" outlineLevel="0" collapsed="false">
      <c r="A620" s="15" t="n">
        <v>46326</v>
      </c>
      <c r="B620" s="16" t="str">
        <f aca="false">TEXT(A620,"ddd")</f>
        <v>Sat</v>
      </c>
      <c r="C620" s="10" t="s">
        <v>200</v>
      </c>
      <c r="D620" s="16" t="str">
        <f aca="false">IFERROR(INDEX('Staff Master'!$B$5:$B$24,MATCH(C620,'Staff Master'!$A$5:$A$24,0)),"")</f>
        <v>Imran Sheikh</v>
      </c>
      <c r="E620" s="16" t="str">
        <f aca="false">IFERROR(INDEX('Staff Master'!$D$5:$D$24,MATCH(C620,'Staff Master'!$A$5:$A$24,0)),"")</f>
        <v>Dental Laboratory</v>
      </c>
      <c r="F620" s="16" t="str">
        <f aca="false">IFERROR(INDEX('Staff Master'!$E$5:$E$24,MATCH(C620,'Staff Master'!$A$5:$A$24,0)),"")</f>
        <v>Dental Technician</v>
      </c>
      <c r="G620" s="10" t="s">
        <v>97</v>
      </c>
      <c r="H620" s="17" t="n">
        <f aca="false">IFERROR(INDEX('Shift Master'!$C$5:$C$16,MATCH(G620,'Shift Master'!$A$5:$A$16,0)),"")</f>
        <v>0</v>
      </c>
      <c r="I620" s="17" t="n">
        <f aca="false">IFERROR(INDEX('Shift Master'!$D$5:$D$16,MATCH(G620,'Shift Master'!$A$5:$A$16,0)),"")</f>
        <v>0</v>
      </c>
      <c r="J620" s="16" t="n">
        <f aca="false">IFERROR(INDEX('Shift Master'!$E$5:$E$16,MATCH(G620,'Shift Master'!$A$5:$A$16,0)),"")</f>
        <v>0</v>
      </c>
      <c r="K620" s="16" t="n">
        <f aca="false">IFERROR(INDEX('Shift Master'!$G$5:$G$16,MATCH(G620,'Shift Master'!$A$5:$A$16,0)),0)</f>
        <v>0</v>
      </c>
      <c r="L620" s="16" t="s">
        <v>228</v>
      </c>
      <c r="M620" s="16" t="s">
        <v>229</v>
      </c>
      <c r="N620" s="16" t="str">
        <f aca="false">IF(COUNTIFS('Staffing Coverage'!$A$5:$A$12,E620,'Staffing Coverage'!$B$5:$B$12,G620)=0,"",IF(COUNTIFS($A$5:$A$10004,A620,$E$5:$E$10004,E620,$G$5:$G$10004,G620)&lt;INDEX('Staffing Coverage'!$C$5:$C$12,MATCH(1,('Staffing Coverage'!$A$5:$A$12=E620)*('Staffing Coverage'!$B$5:$B$12=G620),0)),"SHORT","OK"))</f>
        <v/>
      </c>
    </row>
    <row r="621" customFormat="false" ht="15" hidden="false" customHeight="false" outlineLevel="0" collapsed="false">
      <c r="A621" s="15" t="n">
        <v>46326</v>
      </c>
      <c r="B621" s="16" t="str">
        <f aca="false">TEXT(A621,"ddd")</f>
        <v>Sat</v>
      </c>
      <c r="C621" s="10" t="s">
        <v>204</v>
      </c>
      <c r="D621" s="16" t="str">
        <f aca="false">IFERROR(INDEX('Staff Master'!$B$5:$B$24,MATCH(C621,'Staff Master'!$A$5:$A$24,0)),"")</f>
        <v>Josephine Cruz</v>
      </c>
      <c r="E621" s="16" t="str">
        <f aca="false">IFERROR(INDEX('Staff Master'!$D$5:$D$24,MATCH(C621,'Staff Master'!$A$5:$A$24,0)),"")</f>
        <v>CSSD</v>
      </c>
      <c r="F621" s="16" t="str">
        <f aca="false">IFERROR(INDEX('Staff Master'!$E$5:$E$24,MATCH(C621,'Staff Master'!$A$5:$A$24,0)),"")</f>
        <v>CSSD Technician</v>
      </c>
      <c r="G621" s="10" t="s">
        <v>87</v>
      </c>
      <c r="H621" s="17" t="n">
        <f aca="false">IFERROR(INDEX('Shift Master'!$C$5:$C$16,MATCH(G621,'Shift Master'!$A$5:$A$16,0)),"")</f>
        <v>0.333333333333333</v>
      </c>
      <c r="I621" s="17" t="n">
        <f aca="false">IFERROR(INDEX('Shift Master'!$D$5:$D$16,MATCH(G621,'Shift Master'!$A$5:$A$16,0)),"")</f>
        <v>0.708333333333333</v>
      </c>
      <c r="J621" s="16" t="n">
        <f aca="false">IFERROR(INDEX('Shift Master'!$E$5:$E$16,MATCH(G621,'Shift Master'!$A$5:$A$16,0)),"")</f>
        <v>60</v>
      </c>
      <c r="K621" s="16" t="n">
        <f aca="false">IFERROR(INDEX('Shift Master'!$G$5:$G$16,MATCH(G621,'Shift Master'!$A$5:$A$16,0)),0)</f>
        <v>8</v>
      </c>
      <c r="L621" s="16" t="s">
        <v>228</v>
      </c>
      <c r="M621" s="16" t="s">
        <v>229</v>
      </c>
      <c r="N621" s="16" t="str">
        <f aca="false">IF(COUNTIFS('Staffing Coverage'!$A$5:$A$12,E621,'Staffing Coverage'!$B$5:$B$12,G621)=0,"",IF(COUNTIFS($A$5:$A$10004,A621,$E$5:$E$10004,E621,$G$5:$G$10004,G621)&lt;INDEX('Staffing Coverage'!$C$5:$C$12,MATCH(1,('Staffing Coverage'!$A$5:$A$12=E621)*('Staffing Coverage'!$B$5:$B$12=G621),0)),"SHORT","OK"))</f>
        <v>OK</v>
      </c>
    </row>
    <row r="622" customFormat="false" ht="15" hidden="false" customHeight="false" outlineLevel="0" collapsed="false">
      <c r="A622" s="15" t="n">
        <v>46326</v>
      </c>
      <c r="B622" s="16" t="str">
        <f aca="false">TEXT(A622,"ddd")</f>
        <v>Sat</v>
      </c>
      <c r="C622" s="10" t="s">
        <v>208</v>
      </c>
      <c r="D622" s="16" t="str">
        <f aca="false">IFERROR(INDEX('Staff Master'!$B$5:$B$24,MATCH(C622,'Staff Master'!$A$5:$A$24,0)),"")</f>
        <v>Rosalyn Tan</v>
      </c>
      <c r="E622" s="16" t="str">
        <f aca="false">IFERROR(INDEX('Staff Master'!$D$5:$D$24,MATCH(C622,'Staff Master'!$A$5:$A$24,0)),"")</f>
        <v>Cleaning</v>
      </c>
      <c r="F622" s="16" t="str">
        <f aca="false">IFERROR(INDEX('Staff Master'!$E$5:$E$24,MATCH(C622,'Staff Master'!$A$5:$A$24,0)),"")</f>
        <v>Cleaner</v>
      </c>
      <c r="G622" s="10" t="s">
        <v>97</v>
      </c>
      <c r="H622" s="17" t="n">
        <f aca="false">IFERROR(INDEX('Shift Master'!$C$5:$C$16,MATCH(G622,'Shift Master'!$A$5:$A$16,0)),"")</f>
        <v>0</v>
      </c>
      <c r="I622" s="17" t="n">
        <f aca="false">IFERROR(INDEX('Shift Master'!$D$5:$D$16,MATCH(G622,'Shift Master'!$A$5:$A$16,0)),"")</f>
        <v>0</v>
      </c>
      <c r="J622" s="16" t="n">
        <f aca="false">IFERROR(INDEX('Shift Master'!$E$5:$E$16,MATCH(G622,'Shift Master'!$A$5:$A$16,0)),"")</f>
        <v>0</v>
      </c>
      <c r="K622" s="16" t="n">
        <f aca="false">IFERROR(INDEX('Shift Master'!$G$5:$G$16,MATCH(G622,'Shift Master'!$A$5:$A$16,0)),0)</f>
        <v>0</v>
      </c>
      <c r="L622" s="16" t="s">
        <v>228</v>
      </c>
      <c r="M622" s="16" t="s">
        <v>229</v>
      </c>
      <c r="N622" s="16" t="str">
        <f aca="false">IF(COUNTIFS('Staffing Coverage'!$A$5:$A$12,E622,'Staffing Coverage'!$B$5:$B$12,G622)=0,"",IF(COUNTIFS($A$5:$A$10004,A622,$E$5:$E$10004,E622,$G$5:$G$10004,G622)&lt;INDEX('Staffing Coverage'!$C$5:$C$12,MATCH(1,('Staffing Coverage'!$A$5:$A$12=E622)*('Staffing Coverage'!$B$5:$B$12=G622),0)),"SHORT","OK"))</f>
        <v/>
      </c>
    </row>
    <row r="623" customFormat="false" ht="15" hidden="false" customHeight="false" outlineLevel="0" collapsed="false">
      <c r="A623" s="15" t="n">
        <v>46326</v>
      </c>
      <c r="B623" s="16" t="str">
        <f aca="false">TEXT(A623,"ddd")</f>
        <v>Sat</v>
      </c>
      <c r="C623" s="10" t="s">
        <v>212</v>
      </c>
      <c r="D623" s="16" t="str">
        <f aca="false">IFERROR(INDEX('Staff Master'!$B$5:$B$24,MATCH(C623,'Staff Master'!$A$5:$A$24,0)),"")</f>
        <v>Hassan Baig</v>
      </c>
      <c r="E623" s="16" t="str">
        <f aca="false">IFERROR(INDEX('Staff Master'!$D$5:$D$24,MATCH(C623,'Staff Master'!$A$5:$A$24,0)),"")</f>
        <v>Facilities</v>
      </c>
      <c r="F623" s="16" t="str">
        <f aca="false">IFERROR(INDEX('Staff Master'!$E$5:$E$24,MATCH(C623,'Staff Master'!$A$5:$A$24,0)),"")</f>
        <v>Facility Manager</v>
      </c>
      <c r="G623" s="10" t="s">
        <v>90</v>
      </c>
      <c r="H623" s="17" t="n">
        <f aca="false">IFERROR(INDEX('Shift Master'!$C$5:$C$16,MATCH(G623,'Shift Master'!$A$5:$A$16,0)),"")</f>
        <v>0.375</v>
      </c>
      <c r="I623" s="17" t="n">
        <f aca="false">IFERROR(INDEX('Shift Master'!$D$5:$D$16,MATCH(G623,'Shift Master'!$A$5:$A$16,0)),"")</f>
        <v>0.75</v>
      </c>
      <c r="J623" s="16" t="n">
        <f aca="false">IFERROR(INDEX('Shift Master'!$E$5:$E$16,MATCH(G623,'Shift Master'!$A$5:$A$16,0)),"")</f>
        <v>60</v>
      </c>
      <c r="K623" s="16" t="n">
        <f aca="false">IFERROR(INDEX('Shift Master'!$G$5:$G$16,MATCH(G623,'Shift Master'!$A$5:$A$16,0)),0)</f>
        <v>8</v>
      </c>
      <c r="L623" s="16" t="s">
        <v>228</v>
      </c>
      <c r="M623" s="16" t="s">
        <v>229</v>
      </c>
      <c r="N623" s="16" t="str">
        <f aca="false">IF(COUNTIFS('Staffing Coverage'!$A$5:$A$12,E623,'Staffing Coverage'!$B$5:$B$12,G623)=0,"",IF(COUNTIFS($A$5:$A$10004,A623,$E$5:$E$10004,E623,$G$5:$G$10004,G623)&lt;INDEX('Staffing Coverage'!$C$5:$C$12,MATCH(1,('Staffing Coverage'!$A$5:$A$12=E623)*('Staffing Coverage'!$B$5:$B$12=G623),0)),"SHORT","OK"))</f>
        <v/>
      </c>
    </row>
    <row r="624" customFormat="false" ht="15" hidden="false" customHeight="false" outlineLevel="0" collapsed="false">
      <c r="A624" s="15" t="n">
        <v>46326</v>
      </c>
      <c r="B624" s="16" t="str">
        <f aca="false">TEXT(A624,"ddd")</f>
        <v>Sat</v>
      </c>
      <c r="C624" s="10" t="s">
        <v>178</v>
      </c>
      <c r="D624" s="16" t="str">
        <f aca="false">IFERROR(INDEX('Staff Master'!$B$5:$B$24,MATCH(C624,'Staff Master'!$A$5:$A$24,0)),"")</f>
        <v>Meera Pillai</v>
      </c>
      <c r="E624" s="16" t="str">
        <f aca="false">IFERROR(INDEX('Staff Master'!$D$5:$D$24,MATCH(C624,'Staff Master'!$A$5:$A$24,0)),"")</f>
        <v>HR</v>
      </c>
      <c r="F624" s="16" t="str">
        <f aca="false">IFERROR(INDEX('Staff Master'!$E$5:$E$24,MATCH(C624,'Staff Master'!$A$5:$A$24,0)),"")</f>
        <v>HR Executive</v>
      </c>
      <c r="G624" s="10" t="s">
        <v>97</v>
      </c>
      <c r="H624" s="17" t="n">
        <f aca="false">IFERROR(INDEX('Shift Master'!$C$5:$C$16,MATCH(G624,'Shift Master'!$A$5:$A$16,0)),"")</f>
        <v>0</v>
      </c>
      <c r="I624" s="17" t="n">
        <f aca="false">IFERROR(INDEX('Shift Master'!$D$5:$D$16,MATCH(G624,'Shift Master'!$A$5:$A$16,0)),"")</f>
        <v>0</v>
      </c>
      <c r="J624" s="16" t="n">
        <f aca="false">IFERROR(INDEX('Shift Master'!$E$5:$E$16,MATCH(G624,'Shift Master'!$A$5:$A$16,0)),"")</f>
        <v>0</v>
      </c>
      <c r="K624" s="16" t="n">
        <f aca="false">IFERROR(INDEX('Shift Master'!$G$5:$G$16,MATCH(G624,'Shift Master'!$A$5:$A$16,0)),0)</f>
        <v>0</v>
      </c>
      <c r="L624" s="16" t="s">
        <v>228</v>
      </c>
      <c r="M624" s="16" t="s">
        <v>229</v>
      </c>
      <c r="N624" s="16" t="str">
        <f aca="false">IF(COUNTIFS('Staffing Coverage'!$A$5:$A$12,E624,'Staffing Coverage'!$B$5:$B$12,G624)=0,"",IF(COUNTIFS($A$5:$A$10004,A624,$E$5:$E$10004,E624,$G$5:$G$10004,G624)&lt;INDEX('Staffing Coverage'!$C$5:$C$12,MATCH(1,('Staffing Coverage'!$A$5:$A$12=E624)*('Staffing Coverage'!$B$5:$B$12=G624),0)),"SHORT","OK"))</f>
        <v/>
      </c>
    </row>
  </sheetData>
  <mergeCells count="2">
    <mergeCell ref="A1:H1"/>
    <mergeCell ref="A2:H2"/>
  </mergeCells>
  <conditionalFormatting sqref="N5:N624">
    <cfRule type="cellIs" priority="2" operator="equal" aboveAverage="0" equalAverage="0" bottom="0" percent="0" rank="0" text="" dxfId="0">
      <formula>"SHORT"</formula>
    </cfRule>
  </conditionalFormatting>
  <conditionalFormatting sqref="G5:G624">
    <cfRule type="expression" priority="3" aboveAverage="0" equalAverage="0" bottom="0" percent="0" rank="0" text="" dxfId="1">
      <formula>G5="OFF"</formula>
    </cfRule>
    <cfRule type="expression" priority="4" aboveAverage="0" equalAverage="0" bottom="0" percent="0" rank="0" text="" dxfId="2">
      <formula>OR(G5="AL",G5="SL",G5="EL",G5="UL",G5="OL",G5="PH")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6" min="5" style="0" width="9"/>
    <col collapsed="false" customWidth="true" hidden="false" outlineLevel="0" max="7" min="7" style="0" width="12"/>
  </cols>
  <sheetData>
    <row r="1" customFormat="false" ht="19.7" hidden="false" customHeight="false" outlineLevel="0" collapsed="false">
      <c r="A1" s="1" t="s">
        <v>230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231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4" t="n">
        <v>46301</v>
      </c>
      <c r="C4" s="5" t="s">
        <v>232</v>
      </c>
    </row>
    <row r="6" customFormat="false" ht="19.5" hidden="false" customHeight="true" outlineLevel="0" collapsed="false">
      <c r="A6" s="12" t="s">
        <v>223</v>
      </c>
      <c r="B6" s="12" t="s">
        <v>117</v>
      </c>
      <c r="C6" s="12" t="s">
        <v>118</v>
      </c>
      <c r="D6" s="12" t="s">
        <v>80</v>
      </c>
      <c r="E6" s="12" t="s">
        <v>82</v>
      </c>
      <c r="F6" s="12" t="s">
        <v>83</v>
      </c>
      <c r="G6" s="12" t="s">
        <v>225</v>
      </c>
    </row>
    <row r="7" customFormat="false" ht="15" hidden="false" customHeight="false" outlineLevel="0" collapsed="false">
      <c r="A7" s="16" t="str">
        <f aca="false">IFERROR(INDEX('Monthly Roster'!$D$5:$D$624,MATCH(1,('Monthly Roster'!$A$5:$A$624=$B$4)*('Monthly Roster'!$C$5:$C$624='Staff Master'!$A$5),0)),"")</f>
        <v>Rashid Al Nuaimi</v>
      </c>
      <c r="B7" s="16" t="str">
        <f aca="false">'Staff Master'!D5</f>
        <v>Management</v>
      </c>
      <c r="C7" s="16" t="str">
        <f aca="false">'Staff Master'!E5</f>
        <v>CEO</v>
      </c>
      <c r="D7" s="16" t="str">
        <f aca="false">IFERROR(INDEX('Monthly Roster'!$G$5:$G$624,MATCH(1,('Monthly Roster'!$A$5:$A$624=$B$4)*('Monthly Roster'!$C$5:$C$624='Staff Master'!$A$5),0)),"")</f>
        <v>M2</v>
      </c>
      <c r="E7" s="17" t="n">
        <f aca="false">IFERROR(INDEX('Monthly Roster'!$H$5:$H$624,MATCH(1,('Monthly Roster'!$A$5:$A$624=$B$4)*('Monthly Roster'!$C$5:$C$624='Staff Master'!$A$5),0)),"")</f>
        <v>0.375</v>
      </c>
      <c r="F7" s="17" t="n">
        <f aca="false">IFERROR(INDEX('Monthly Roster'!$I$5:$I$624,MATCH(1,('Monthly Roster'!$A$5:$A$624=$B$4)*('Monthly Roster'!$C$5:$C$624='Staff Master'!$A$5),0)),"")</f>
        <v>0.75</v>
      </c>
      <c r="G7" s="16" t="str">
        <f aca="false">IF(D7="","",IF(D7="OFF","Weekly Off",IF(OR(D7="AL",D7="SL",D7="EL",D7="UL",D7="OL",D7="PH"),"On Leave","On Duty")))</f>
        <v>On Duty</v>
      </c>
    </row>
    <row r="8" customFormat="false" ht="15" hidden="false" customHeight="false" outlineLevel="0" collapsed="false">
      <c r="A8" s="16" t="str">
        <f aca="false">IFERROR(INDEX('Monthly Roster'!$D$5:$D$624,MATCH(1,('Monthly Roster'!$A$5:$A$624=$B$4)*('Monthly Roster'!$C$5:$C$624='Staff Master'!$A$6),0)),"")</f>
        <v>Dr. Sara Haddad</v>
      </c>
      <c r="B8" s="16" t="str">
        <f aca="false">'Staff Master'!D6</f>
        <v>General Practice</v>
      </c>
      <c r="C8" s="16" t="str">
        <f aca="false">'Staff Master'!E6</f>
        <v>Medical Director</v>
      </c>
      <c r="D8" s="16" t="str">
        <f aca="false">IFERROR(INDEX('Monthly Roster'!$G$5:$G$624,MATCH(1,('Monthly Roster'!$A$5:$A$624=$B$4)*('Monthly Roster'!$C$5:$C$624='Staff Master'!$A$6),0)),"")</f>
        <v>D1</v>
      </c>
      <c r="E8" s="17" t="n">
        <f aca="false">IFERROR(INDEX('Monthly Roster'!$H$5:$H$624,MATCH(1,('Monthly Roster'!$A$5:$A$624=$B$4)*('Monthly Roster'!$C$5:$C$624='Staff Master'!$A$6),0)),"")</f>
        <v>0.375</v>
      </c>
      <c r="F8" s="17" t="n">
        <f aca="false">IFERROR(INDEX('Monthly Roster'!$I$5:$I$624,MATCH(1,('Monthly Roster'!$A$5:$A$624=$B$4)*('Monthly Roster'!$C$5:$C$624='Staff Master'!$A$6),0)),"")</f>
        <v>0.708333333333333</v>
      </c>
      <c r="G8" s="16" t="str">
        <f aca="false">IF(D8="","",IF(D8="OFF","Weekly Off",IF(OR(D8="AL",D8="SL",D8="EL",D8="UL",D8="OL",D8="PH"),"On Leave","On Duty")))</f>
        <v>On Duty</v>
      </c>
    </row>
    <row r="9" customFormat="false" ht="15" hidden="false" customHeight="false" outlineLevel="0" collapsed="false">
      <c r="A9" s="16" t="str">
        <f aca="false">IFERROR(INDEX('Monthly Roster'!$D$5:$D$624,MATCH(1,('Monthly Roster'!$A$5:$A$624=$B$4)*('Monthly Roster'!$C$5:$C$624='Staff Master'!$A$7),0)),"")</f>
        <v>Dr. Omar Khalil</v>
      </c>
      <c r="B9" s="16" t="str">
        <f aca="false">'Staff Master'!D7</f>
        <v>General Practice</v>
      </c>
      <c r="C9" s="16" t="str">
        <f aca="false">'Staff Master'!E7</f>
        <v>Doctor</v>
      </c>
      <c r="D9" s="16" t="str">
        <f aca="false">IFERROR(INDEX('Monthly Roster'!$G$5:$G$624,MATCH(1,('Monthly Roster'!$A$5:$A$624=$B$4)*('Monthly Roster'!$C$5:$C$624='Staff Master'!$A$7),0)),"")</f>
        <v>D1</v>
      </c>
      <c r="E9" s="17" t="n">
        <f aca="false">IFERROR(INDEX('Monthly Roster'!$H$5:$H$624,MATCH(1,('Monthly Roster'!$A$5:$A$624=$B$4)*('Monthly Roster'!$C$5:$C$624='Staff Master'!$A$7),0)),"")</f>
        <v>0.375</v>
      </c>
      <c r="F9" s="17" t="n">
        <f aca="false">IFERROR(INDEX('Monthly Roster'!$I$5:$I$624,MATCH(1,('Monthly Roster'!$A$5:$A$624=$B$4)*('Monthly Roster'!$C$5:$C$624='Staff Master'!$A$7),0)),"")</f>
        <v>0.708333333333333</v>
      </c>
      <c r="G9" s="16" t="str">
        <f aca="false">IF(D9="","",IF(D9="OFF","Weekly Off",IF(OR(D9="AL",D9="SL",D9="EL",D9="UL",D9="OL",D9="PH"),"On Leave","On Duty")))</f>
        <v>On Duty</v>
      </c>
    </row>
    <row r="10" customFormat="false" ht="15" hidden="false" customHeight="false" outlineLevel="0" collapsed="false">
      <c r="A10" s="16" t="str">
        <f aca="false">IFERROR(INDEX('Monthly Roster'!$D$5:$D$624,MATCH(1,('Monthly Roster'!$A$5:$A$624=$B$4)*('Monthly Roster'!$C$5:$C$624='Staff Master'!$A$8),0)),"")</f>
        <v>Dr. Lina Abboud</v>
      </c>
      <c r="B10" s="16" t="str">
        <f aca="false">'Staff Master'!D8</f>
        <v>Dental</v>
      </c>
      <c r="C10" s="16" t="str">
        <f aca="false">'Staff Master'!E8</f>
        <v>Dentist</v>
      </c>
      <c r="D10" s="16" t="str">
        <f aca="false">IFERROR(INDEX('Monthly Roster'!$G$5:$G$624,MATCH(1,('Monthly Roster'!$A$5:$A$624=$B$4)*('Monthly Roster'!$C$5:$C$624='Staff Master'!$A$8),0)),"")</f>
        <v>D1</v>
      </c>
      <c r="E10" s="17" t="n">
        <f aca="false">IFERROR(INDEX('Monthly Roster'!$H$5:$H$624,MATCH(1,('Monthly Roster'!$A$5:$A$624=$B$4)*('Monthly Roster'!$C$5:$C$624='Staff Master'!$A$8),0)),"")</f>
        <v>0.375</v>
      </c>
      <c r="F10" s="17" t="n">
        <f aca="false">IFERROR(INDEX('Monthly Roster'!$I$5:$I$624,MATCH(1,('Monthly Roster'!$A$5:$A$624=$B$4)*('Monthly Roster'!$C$5:$C$624='Staff Master'!$A$8),0)),"")</f>
        <v>0.708333333333333</v>
      </c>
      <c r="G10" s="16" t="str">
        <f aca="false">IF(D10="","",IF(D10="OFF","Weekly Off",IF(OR(D10="AL",D10="SL",D10="EL",D10="UL",D10="OL",D10="PH"),"On Leave","On Duty")))</f>
        <v>On Duty</v>
      </c>
    </row>
    <row r="11" customFormat="false" ht="15" hidden="false" customHeight="false" outlineLevel="0" collapsed="false">
      <c r="A11" s="16" t="str">
        <f aca="false">IFERROR(INDEX('Monthly Roster'!$D$5:$D$624,MATCH(1,('Monthly Roster'!$A$5:$A$624=$B$4)*('Monthly Roster'!$C$5:$C$624='Staff Master'!$A$9),0)),"")</f>
        <v>Dr. Farah Idris</v>
      </c>
      <c r="B11" s="16" t="str">
        <f aca="false">'Staff Master'!D9</f>
        <v>Dental</v>
      </c>
      <c r="C11" s="16" t="str">
        <f aca="false">'Staff Master'!E9</f>
        <v>Dentist</v>
      </c>
      <c r="D11" s="16" t="str">
        <f aca="false">IFERROR(INDEX('Monthly Roster'!$G$5:$G$624,MATCH(1,('Monthly Roster'!$A$5:$A$624=$B$4)*('Monthly Roster'!$C$5:$C$624='Staff Master'!$A$9),0)),"")</f>
        <v>D1</v>
      </c>
      <c r="E11" s="17" t="n">
        <f aca="false">IFERROR(INDEX('Monthly Roster'!$H$5:$H$624,MATCH(1,('Monthly Roster'!$A$5:$A$624=$B$4)*('Monthly Roster'!$C$5:$C$624='Staff Master'!$A$9),0)),"")</f>
        <v>0.375</v>
      </c>
      <c r="F11" s="17" t="n">
        <f aca="false">IFERROR(INDEX('Monthly Roster'!$I$5:$I$624,MATCH(1,('Monthly Roster'!$A$5:$A$624=$B$4)*('Monthly Roster'!$C$5:$C$624='Staff Master'!$A$9),0)),"")</f>
        <v>0.708333333333333</v>
      </c>
      <c r="G11" s="16" t="str">
        <f aca="false">IF(D11="","",IF(D11="OFF","Weekly Off",IF(OR(D11="AL",D11="SL",D11="EL",D11="UL",D11="OL",D11="PH"),"On Leave","On Duty")))</f>
        <v>On Duty</v>
      </c>
    </row>
    <row r="12" customFormat="false" ht="15" hidden="false" customHeight="false" outlineLevel="0" collapsed="false">
      <c r="A12" s="16" t="str">
        <f aca="false">IFERROR(INDEX('Monthly Roster'!$D$5:$D$624,MATCH(1,('Monthly Roster'!$A$5:$A$624=$B$4)*('Monthly Roster'!$C$5:$C$624='Staff Master'!$A$10),0)),"")</f>
        <v>Dr. Youssef Nassar</v>
      </c>
      <c r="B12" s="16" t="str">
        <f aca="false">'Staff Master'!D10</f>
        <v>General Practice</v>
      </c>
      <c r="C12" s="16" t="str">
        <f aca="false">'Staff Master'!E10</f>
        <v>General Practitioner</v>
      </c>
      <c r="D12" s="16" t="str">
        <f aca="false">IFERROR(INDEX('Monthly Roster'!$G$5:$G$624,MATCH(1,('Monthly Roster'!$A$5:$A$624=$B$4)*('Monthly Roster'!$C$5:$C$624='Staff Master'!$A$10),0)),"")</f>
        <v>D1</v>
      </c>
      <c r="E12" s="17" t="n">
        <f aca="false">IFERROR(INDEX('Monthly Roster'!$H$5:$H$624,MATCH(1,('Monthly Roster'!$A$5:$A$624=$B$4)*('Monthly Roster'!$C$5:$C$624='Staff Master'!$A$10),0)),"")</f>
        <v>0.375</v>
      </c>
      <c r="F12" s="17" t="n">
        <f aca="false">IFERROR(INDEX('Monthly Roster'!$I$5:$I$624,MATCH(1,('Monthly Roster'!$A$5:$A$624=$B$4)*('Monthly Roster'!$C$5:$C$624='Staff Master'!$A$10),0)),"")</f>
        <v>0.708333333333333</v>
      </c>
      <c r="G12" s="16" t="str">
        <f aca="false">IF(D12="","",IF(D12="OFF","Weekly Off",IF(OR(D12="AL",D12="SL",D12="EL",D12="UL",D12="OL",D12="PH"),"On Leave","On Duty")))</f>
        <v>On Duty</v>
      </c>
    </row>
    <row r="13" customFormat="false" ht="15" hidden="false" customHeight="false" outlineLevel="0" collapsed="false">
      <c r="A13" s="16" t="str">
        <f aca="false">IFERROR(INDEX('Monthly Roster'!$D$5:$D$624,MATCH(1,('Monthly Roster'!$A$5:$A$624=$B$4)*('Monthly Roster'!$C$5:$C$624='Staff Master'!$A$11),0)),"")</f>
        <v>Grace Fernandez</v>
      </c>
      <c r="B13" s="16" t="str">
        <f aca="false">'Staff Master'!D11</f>
        <v>Nursing</v>
      </c>
      <c r="C13" s="16" t="str">
        <f aca="false">'Staff Master'!E11</f>
        <v>Nurse</v>
      </c>
      <c r="D13" s="16" t="str">
        <f aca="false">IFERROR(INDEX('Monthly Roster'!$G$5:$G$624,MATCH(1,('Monthly Roster'!$A$5:$A$624=$B$4)*('Monthly Roster'!$C$5:$C$624='Staff Master'!$A$11),0)),"")</f>
        <v>M1</v>
      </c>
      <c r="E13" s="17" t="n">
        <f aca="false">IFERROR(INDEX('Monthly Roster'!$H$5:$H$624,MATCH(1,('Monthly Roster'!$A$5:$A$624=$B$4)*('Monthly Roster'!$C$5:$C$624='Staff Master'!$A$11),0)),"")</f>
        <v>0.333333333333333</v>
      </c>
      <c r="F13" s="17" t="n">
        <f aca="false">IFERROR(INDEX('Monthly Roster'!$I$5:$I$624,MATCH(1,('Monthly Roster'!$A$5:$A$624=$B$4)*('Monthly Roster'!$C$5:$C$624='Staff Master'!$A$11),0)),"")</f>
        <v>0.708333333333333</v>
      </c>
      <c r="G13" s="16" t="str">
        <f aca="false">IF(D13="","",IF(D13="OFF","Weekly Off",IF(OR(D13="AL",D13="SL",D13="EL",D13="UL",D13="OL",D13="PH"),"On Leave","On Duty")))</f>
        <v>On Duty</v>
      </c>
    </row>
    <row r="14" customFormat="false" ht="15" hidden="false" customHeight="false" outlineLevel="0" collapsed="false">
      <c r="A14" s="16" t="str">
        <f aca="false">IFERROR(INDEX('Monthly Roster'!$D$5:$D$624,MATCH(1,('Monthly Roster'!$A$5:$A$624=$B$4)*('Monthly Roster'!$C$5:$C$624='Staff Master'!$A$12),0)),"")</f>
        <v>Priya Nair</v>
      </c>
      <c r="B14" s="16" t="str">
        <f aca="false">'Staff Master'!D12</f>
        <v>Nursing</v>
      </c>
      <c r="C14" s="16" t="str">
        <f aca="false">'Staff Master'!E12</f>
        <v>Nurse</v>
      </c>
      <c r="D14" s="16" t="str">
        <f aca="false">IFERROR(INDEX('Monthly Roster'!$G$5:$G$624,MATCH(1,('Monthly Roster'!$A$5:$A$624=$B$4)*('Monthly Roster'!$C$5:$C$624='Staff Master'!$A$12),0)),"")</f>
        <v>AL</v>
      </c>
      <c r="E14" s="17" t="n">
        <f aca="false">IFERROR(INDEX('Monthly Roster'!$H$5:$H$624,MATCH(1,('Monthly Roster'!$A$5:$A$624=$B$4)*('Monthly Roster'!$C$5:$C$624='Staff Master'!$A$12),0)),"")</f>
        <v>0</v>
      </c>
      <c r="F14" s="17" t="n">
        <f aca="false">IFERROR(INDEX('Monthly Roster'!$I$5:$I$624,MATCH(1,('Monthly Roster'!$A$5:$A$624=$B$4)*('Monthly Roster'!$C$5:$C$624='Staff Master'!$A$12),0)),"")</f>
        <v>0</v>
      </c>
      <c r="G14" s="16" t="str">
        <f aca="false">IF(D14="","",IF(D14="OFF","Weekly Off",IF(OR(D14="AL",D14="SL",D14="EL",D14="UL",D14="OL",D14="PH"),"On Leave","On Duty")))</f>
        <v>On Leave</v>
      </c>
    </row>
    <row r="15" customFormat="false" ht="15" hidden="false" customHeight="false" outlineLevel="0" collapsed="false">
      <c r="A15" s="16" t="str">
        <f aca="false">IFERROR(INDEX('Monthly Roster'!$D$5:$D$624,MATCH(1,('Monthly Roster'!$A$5:$A$624=$B$4)*('Monthly Roster'!$C$5:$C$624='Staff Master'!$A$13),0)),"")</f>
        <v>Maria Santos</v>
      </c>
      <c r="B15" s="16" t="str">
        <f aca="false">'Staff Master'!D13</f>
        <v>Nursing</v>
      </c>
      <c r="C15" s="16" t="str">
        <f aca="false">'Staff Master'!E13</f>
        <v>Nurse</v>
      </c>
      <c r="D15" s="16" t="str">
        <f aca="false">IFERROR(INDEX('Monthly Roster'!$G$5:$G$624,MATCH(1,('Monthly Roster'!$A$5:$A$624=$B$4)*('Monthly Roster'!$C$5:$C$624='Staff Master'!$A$13),0)),"")</f>
        <v>E1</v>
      </c>
      <c r="E15" s="17" t="n">
        <f aca="false">IFERROR(INDEX('Monthly Roster'!$H$5:$H$624,MATCH(1,('Monthly Roster'!$A$5:$A$624=$B$4)*('Monthly Roster'!$C$5:$C$624='Staff Master'!$A$13),0)),"")</f>
        <v>0.541666666666667</v>
      </c>
      <c r="F15" s="17" t="n">
        <f aca="false">IFERROR(INDEX('Monthly Roster'!$I$5:$I$624,MATCH(1,('Monthly Roster'!$A$5:$A$624=$B$4)*('Monthly Roster'!$C$5:$C$624='Staff Master'!$A$13),0)),"")</f>
        <v>0.916666666666667</v>
      </c>
      <c r="G15" s="16" t="str">
        <f aca="false">IF(D15="","",IF(D15="OFF","Weekly Off",IF(OR(D15="AL",D15="SL",D15="EL",D15="UL",D15="OL",D15="PH"),"On Leave","On Duty")))</f>
        <v>On Duty</v>
      </c>
    </row>
    <row r="16" customFormat="false" ht="15" hidden="false" customHeight="false" outlineLevel="0" collapsed="false">
      <c r="A16" s="16" t="str">
        <f aca="false">IFERROR(INDEX('Monthly Roster'!$D$5:$D$624,MATCH(1,('Monthly Roster'!$A$5:$A$624=$B$4)*('Monthly Roster'!$C$5:$C$624='Staff Master'!$A$14),0)),"")</f>
        <v>Aisha Al Shamsi</v>
      </c>
      <c r="B16" s="16" t="str">
        <f aca="false">'Staff Master'!D14</f>
        <v>Reception</v>
      </c>
      <c r="C16" s="16" t="str">
        <f aca="false">'Staff Master'!E14</f>
        <v>Receptionist</v>
      </c>
      <c r="D16" s="16" t="str">
        <f aca="false">IFERROR(INDEX('Monthly Roster'!$G$5:$G$624,MATCH(1,('Monthly Roster'!$A$5:$A$624=$B$4)*('Monthly Roster'!$C$5:$C$624='Staff Master'!$A$14),0)),"")</f>
        <v>M1</v>
      </c>
      <c r="E16" s="17" t="n">
        <f aca="false">IFERROR(INDEX('Monthly Roster'!$H$5:$H$624,MATCH(1,('Monthly Roster'!$A$5:$A$624=$B$4)*('Monthly Roster'!$C$5:$C$624='Staff Master'!$A$14),0)),"")</f>
        <v>0.333333333333333</v>
      </c>
      <c r="F16" s="17" t="n">
        <f aca="false">IFERROR(INDEX('Monthly Roster'!$I$5:$I$624,MATCH(1,('Monthly Roster'!$A$5:$A$624=$B$4)*('Monthly Roster'!$C$5:$C$624='Staff Master'!$A$14),0)),"")</f>
        <v>0.708333333333333</v>
      </c>
      <c r="G16" s="16" t="str">
        <f aca="false">IF(D16="","",IF(D16="OFF","Weekly Off",IF(OR(D16="AL",D16="SL",D16="EL",D16="UL",D16="OL",D16="PH"),"On Leave","On Duty")))</f>
        <v>On Duty</v>
      </c>
    </row>
    <row r="17" customFormat="false" ht="15" hidden="false" customHeight="false" outlineLevel="0" collapsed="false">
      <c r="A17" s="16" t="str">
        <f aca="false">IFERROR(INDEX('Monthly Roster'!$D$5:$D$624,MATCH(1,('Monthly Roster'!$A$5:$A$624=$B$4)*('Monthly Roster'!$C$5:$C$624='Staff Master'!$A$15),0)),"")</f>
        <v>John Dsouza</v>
      </c>
      <c r="B17" s="16" t="str">
        <f aca="false">'Staff Master'!D15</f>
        <v>Reception</v>
      </c>
      <c r="C17" s="16" t="str">
        <f aca="false">'Staff Master'!E15</f>
        <v>Receptionist</v>
      </c>
      <c r="D17" s="16" t="str">
        <f aca="false">IFERROR(INDEX('Monthly Roster'!$G$5:$G$624,MATCH(1,('Monthly Roster'!$A$5:$A$624=$B$4)*('Monthly Roster'!$C$5:$C$624='Staff Master'!$A$15),0)),"")</f>
        <v>OFF</v>
      </c>
      <c r="E17" s="17" t="n">
        <f aca="false">IFERROR(INDEX('Monthly Roster'!$H$5:$H$624,MATCH(1,('Monthly Roster'!$A$5:$A$624=$B$4)*('Monthly Roster'!$C$5:$C$624='Staff Master'!$A$15),0)),"")</f>
        <v>0</v>
      </c>
      <c r="F17" s="17" t="n">
        <f aca="false">IFERROR(INDEX('Monthly Roster'!$I$5:$I$624,MATCH(1,('Monthly Roster'!$A$5:$A$624=$B$4)*('Monthly Roster'!$C$5:$C$624='Staff Master'!$A$15),0)),"")</f>
        <v>0</v>
      </c>
      <c r="G17" s="16" t="str">
        <f aca="false">IF(D17="","",IF(D17="OFF","Weekly Off",IF(OR(D17="AL",D17="SL",D17="EL",D17="UL",D17="OL",D17="PH"),"On Leave","On Duty")))</f>
        <v>Weekly Off</v>
      </c>
    </row>
    <row r="18" customFormat="false" ht="15" hidden="false" customHeight="false" outlineLevel="0" collapsed="false">
      <c r="A18" s="16" t="str">
        <f aca="false">IFERROR(INDEX('Monthly Roster'!$D$5:$D$624,MATCH(1,('Monthly Roster'!$A$5:$A$624=$B$4)*('Monthly Roster'!$C$5:$C$624='Staff Master'!$A$16),0)),"")</f>
        <v>Fatima Zahra</v>
      </c>
      <c r="B18" s="16" t="str">
        <f aca="false">'Staff Master'!D16</f>
        <v>Reception</v>
      </c>
      <c r="C18" s="16" t="str">
        <f aca="false">'Staff Master'!E16</f>
        <v>Receptionist</v>
      </c>
      <c r="D18" s="16" t="str">
        <f aca="false">IFERROR(INDEX('Monthly Roster'!$G$5:$G$624,MATCH(1,('Monthly Roster'!$A$5:$A$624=$B$4)*('Monthly Roster'!$C$5:$C$624='Staff Master'!$A$16),0)),"")</f>
        <v>E1</v>
      </c>
      <c r="E18" s="17" t="n">
        <f aca="false">IFERROR(INDEX('Monthly Roster'!$H$5:$H$624,MATCH(1,('Monthly Roster'!$A$5:$A$624=$B$4)*('Monthly Roster'!$C$5:$C$624='Staff Master'!$A$16),0)),"")</f>
        <v>0.541666666666667</v>
      </c>
      <c r="F18" s="17" t="n">
        <f aca="false">IFERROR(INDEX('Monthly Roster'!$I$5:$I$624,MATCH(1,('Monthly Roster'!$A$5:$A$624=$B$4)*('Monthly Roster'!$C$5:$C$624='Staff Master'!$A$16),0)),"")</f>
        <v>0.916666666666667</v>
      </c>
      <c r="G18" s="16" t="str">
        <f aca="false">IF(D18="","",IF(D18="OFF","Weekly Off",IF(OR(D18="AL",D18="SL",D18="EL",D18="UL",D18="OL",D18="PH"),"On Leave","On Duty")))</f>
        <v>On Duty</v>
      </c>
    </row>
    <row r="19" customFormat="false" ht="15" hidden="false" customHeight="false" outlineLevel="0" collapsed="false">
      <c r="A19" s="16" t="str">
        <f aca="false">IFERROR(INDEX('Monthly Roster'!$D$5:$D$624,MATCH(1,('Monthly Roster'!$A$5:$A$624=$B$4)*('Monthly Roster'!$C$5:$C$624='Staff Master'!$A$17),0)),"")</f>
        <v>Ana Reyes</v>
      </c>
      <c r="B19" s="16" t="str">
        <f aca="false">'Staff Master'!D17</f>
        <v>Dental</v>
      </c>
      <c r="C19" s="16" t="str">
        <f aca="false">'Staff Master'!E17</f>
        <v>Dental Assistant</v>
      </c>
      <c r="D19" s="16" t="str">
        <f aca="false">IFERROR(INDEX('Monthly Roster'!$G$5:$G$624,MATCH(1,('Monthly Roster'!$A$5:$A$624=$B$4)*('Monthly Roster'!$C$5:$C$624='Staff Master'!$A$17),0)),"")</f>
        <v>M1</v>
      </c>
      <c r="E19" s="17" t="n">
        <f aca="false">IFERROR(INDEX('Monthly Roster'!$H$5:$H$624,MATCH(1,('Monthly Roster'!$A$5:$A$624=$B$4)*('Monthly Roster'!$C$5:$C$624='Staff Master'!$A$17),0)),"")</f>
        <v>0.333333333333333</v>
      </c>
      <c r="F19" s="17" t="n">
        <f aca="false">IFERROR(INDEX('Monthly Roster'!$I$5:$I$624,MATCH(1,('Monthly Roster'!$A$5:$A$624=$B$4)*('Monthly Roster'!$C$5:$C$624='Staff Master'!$A$17),0)),"")</f>
        <v>0.708333333333333</v>
      </c>
      <c r="G19" s="16" t="str">
        <f aca="false">IF(D19="","",IF(D19="OFF","Weekly Off",IF(OR(D19="AL",D19="SL",D19="EL",D19="UL",D19="OL",D19="PH"),"On Leave","On Duty")))</f>
        <v>On Duty</v>
      </c>
    </row>
    <row r="20" customFormat="false" ht="15" hidden="false" customHeight="false" outlineLevel="0" collapsed="false">
      <c r="A20" s="16" t="str">
        <f aca="false">IFERROR(INDEX('Monthly Roster'!$D$5:$D$624,MATCH(1,('Monthly Roster'!$A$5:$A$624=$B$4)*('Monthly Roster'!$C$5:$C$624='Staff Master'!$A$18),0)),"")</f>
        <v>Noor Hassan</v>
      </c>
      <c r="B20" s="16" t="str">
        <f aca="false">'Staff Master'!D18</f>
        <v>Dental</v>
      </c>
      <c r="C20" s="16" t="str">
        <f aca="false">'Staff Master'!E18</f>
        <v>Dental Assistant</v>
      </c>
      <c r="D20" s="16" t="str">
        <f aca="false">IFERROR(INDEX('Monthly Roster'!$G$5:$G$624,MATCH(1,('Monthly Roster'!$A$5:$A$624=$B$4)*('Monthly Roster'!$C$5:$C$624='Staff Master'!$A$18),0)),"")</f>
        <v>M2</v>
      </c>
      <c r="E20" s="17" t="n">
        <f aca="false">IFERROR(INDEX('Monthly Roster'!$H$5:$H$624,MATCH(1,('Monthly Roster'!$A$5:$A$624=$B$4)*('Monthly Roster'!$C$5:$C$624='Staff Master'!$A$18),0)),"")</f>
        <v>0.375</v>
      </c>
      <c r="F20" s="17" t="n">
        <f aca="false">IFERROR(INDEX('Monthly Roster'!$I$5:$I$624,MATCH(1,('Monthly Roster'!$A$5:$A$624=$B$4)*('Monthly Roster'!$C$5:$C$624='Staff Master'!$A$18),0)),"")</f>
        <v>0.75</v>
      </c>
      <c r="G20" s="16" t="str">
        <f aca="false">IF(D20="","",IF(D20="OFF","Weekly Off",IF(OR(D20="AL",D20="SL",D20="EL",D20="UL",D20="OL",D20="PH"),"On Leave","On Duty")))</f>
        <v>On Duty</v>
      </c>
    </row>
    <row r="21" customFormat="false" ht="15" hidden="false" customHeight="false" outlineLevel="0" collapsed="false">
      <c r="A21" s="16" t="str">
        <f aca="false">IFERROR(INDEX('Monthly Roster'!$D$5:$D$624,MATCH(1,('Monthly Roster'!$A$5:$A$624=$B$4)*('Monthly Roster'!$C$5:$C$624='Staff Master'!$A$19),0)),"")</f>
        <v>Karan Mehta</v>
      </c>
      <c r="B21" s="16" t="str">
        <f aca="false">'Staff Master'!D19</f>
        <v>Laser</v>
      </c>
      <c r="C21" s="16" t="str">
        <f aca="false">'Staff Master'!E19</f>
        <v>Laser Technician</v>
      </c>
      <c r="D21" s="16" t="str">
        <f aca="false">IFERROR(INDEX('Monthly Roster'!$G$5:$G$624,MATCH(1,('Monthly Roster'!$A$5:$A$624=$B$4)*('Monthly Roster'!$C$5:$C$624='Staff Master'!$A$19),0)),"")</f>
        <v>M2</v>
      </c>
      <c r="E21" s="17" t="n">
        <f aca="false">IFERROR(INDEX('Monthly Roster'!$H$5:$H$624,MATCH(1,('Monthly Roster'!$A$5:$A$624=$B$4)*('Monthly Roster'!$C$5:$C$624='Staff Master'!$A$19),0)),"")</f>
        <v>0.375</v>
      </c>
      <c r="F21" s="17" t="n">
        <f aca="false">IFERROR(INDEX('Monthly Roster'!$I$5:$I$624,MATCH(1,('Monthly Roster'!$A$5:$A$624=$B$4)*('Monthly Roster'!$C$5:$C$624='Staff Master'!$A$19),0)),"")</f>
        <v>0.75</v>
      </c>
      <c r="G21" s="16" t="str">
        <f aca="false">IF(D21="","",IF(D21="OFF","Weekly Off",IF(OR(D21="AL",D21="SL",D21="EL",D21="UL",D21="OL",D21="PH"),"On Leave","On Duty")))</f>
        <v>On Duty</v>
      </c>
    </row>
    <row r="22" customFormat="false" ht="15" hidden="false" customHeight="false" outlineLevel="0" collapsed="false">
      <c r="A22" s="16" t="str">
        <f aca="false">IFERROR(INDEX('Monthly Roster'!$D$5:$D$624,MATCH(1,('Monthly Roster'!$A$5:$A$624=$B$4)*('Monthly Roster'!$C$5:$C$624='Staff Master'!$A$20),0)),"")</f>
        <v>Imran Sheikh</v>
      </c>
      <c r="B22" s="16" t="str">
        <f aca="false">'Staff Master'!D20</f>
        <v>Dental Laboratory</v>
      </c>
      <c r="C22" s="16" t="str">
        <f aca="false">'Staff Master'!E20</f>
        <v>Dental Technician</v>
      </c>
      <c r="D22" s="16" t="str">
        <f aca="false">IFERROR(INDEX('Monthly Roster'!$G$5:$G$624,MATCH(1,('Monthly Roster'!$A$5:$A$624=$B$4)*('Monthly Roster'!$C$5:$C$624='Staff Master'!$A$20),0)),"")</f>
        <v>M1</v>
      </c>
      <c r="E22" s="17" t="n">
        <f aca="false">IFERROR(INDEX('Monthly Roster'!$H$5:$H$624,MATCH(1,('Monthly Roster'!$A$5:$A$624=$B$4)*('Monthly Roster'!$C$5:$C$624='Staff Master'!$A$20),0)),"")</f>
        <v>0.333333333333333</v>
      </c>
      <c r="F22" s="17" t="n">
        <f aca="false">IFERROR(INDEX('Monthly Roster'!$I$5:$I$624,MATCH(1,('Monthly Roster'!$A$5:$A$624=$B$4)*('Monthly Roster'!$C$5:$C$624='Staff Master'!$A$20),0)),"")</f>
        <v>0.708333333333333</v>
      </c>
      <c r="G22" s="16" t="str">
        <f aca="false">IF(D22="","",IF(D22="OFF","Weekly Off",IF(OR(D22="AL",D22="SL",D22="EL",D22="UL",D22="OL",D22="PH"),"On Leave","On Duty")))</f>
        <v>On Duty</v>
      </c>
    </row>
    <row r="23" customFormat="false" ht="15" hidden="false" customHeight="false" outlineLevel="0" collapsed="false">
      <c r="A23" s="16" t="str">
        <f aca="false">IFERROR(INDEX('Monthly Roster'!$D$5:$D$624,MATCH(1,('Monthly Roster'!$A$5:$A$624=$B$4)*('Monthly Roster'!$C$5:$C$624='Staff Master'!$A$21),0)),"")</f>
        <v>Josephine Cruz</v>
      </c>
      <c r="B23" s="16" t="str">
        <f aca="false">'Staff Master'!D21</f>
        <v>CSSD</v>
      </c>
      <c r="C23" s="16" t="str">
        <f aca="false">'Staff Master'!E21</f>
        <v>CSSD Technician</v>
      </c>
      <c r="D23" s="16" t="str">
        <f aca="false">IFERROR(INDEX('Monthly Roster'!$G$5:$G$624,MATCH(1,('Monthly Roster'!$A$5:$A$624=$B$4)*('Monthly Roster'!$C$5:$C$624='Staff Master'!$A$21),0)),"")</f>
        <v>M1</v>
      </c>
      <c r="E23" s="17" t="n">
        <f aca="false">IFERROR(INDEX('Monthly Roster'!$H$5:$H$624,MATCH(1,('Monthly Roster'!$A$5:$A$624=$B$4)*('Monthly Roster'!$C$5:$C$624='Staff Master'!$A$21),0)),"")</f>
        <v>0.333333333333333</v>
      </c>
      <c r="F23" s="17" t="n">
        <f aca="false">IFERROR(INDEX('Monthly Roster'!$I$5:$I$624,MATCH(1,('Monthly Roster'!$A$5:$A$624=$B$4)*('Monthly Roster'!$C$5:$C$624='Staff Master'!$A$21),0)),"")</f>
        <v>0.708333333333333</v>
      </c>
      <c r="G23" s="16" t="str">
        <f aca="false">IF(D23="","",IF(D23="OFF","Weekly Off",IF(OR(D23="AL",D23="SL",D23="EL",D23="UL",D23="OL",D23="PH"),"On Leave","On Duty")))</f>
        <v>On Duty</v>
      </c>
    </row>
    <row r="24" customFormat="false" ht="15" hidden="false" customHeight="false" outlineLevel="0" collapsed="false">
      <c r="A24" s="16" t="str">
        <f aca="false">IFERROR(INDEX('Monthly Roster'!$D$5:$D$624,MATCH(1,('Monthly Roster'!$A$5:$A$624=$B$4)*('Monthly Roster'!$C$5:$C$624='Staff Master'!$A$22),0)),"")</f>
        <v>Rosalyn Tan</v>
      </c>
      <c r="B24" s="16" t="str">
        <f aca="false">'Staff Master'!D22</f>
        <v>Cleaning</v>
      </c>
      <c r="C24" s="16" t="str">
        <f aca="false">'Staff Master'!E22</f>
        <v>Cleaner</v>
      </c>
      <c r="D24" s="16" t="str">
        <f aca="false">IFERROR(INDEX('Monthly Roster'!$G$5:$G$624,MATCH(1,('Monthly Roster'!$A$5:$A$624=$B$4)*('Monthly Roster'!$C$5:$C$624='Staff Master'!$A$22),0)),"")</f>
        <v>M1</v>
      </c>
      <c r="E24" s="17" t="n">
        <f aca="false">IFERROR(INDEX('Monthly Roster'!$H$5:$H$624,MATCH(1,('Monthly Roster'!$A$5:$A$624=$B$4)*('Monthly Roster'!$C$5:$C$624='Staff Master'!$A$22),0)),"")</f>
        <v>0.333333333333333</v>
      </c>
      <c r="F24" s="17" t="n">
        <f aca="false">IFERROR(INDEX('Monthly Roster'!$I$5:$I$624,MATCH(1,('Monthly Roster'!$A$5:$A$624=$B$4)*('Monthly Roster'!$C$5:$C$624='Staff Master'!$A$22),0)),"")</f>
        <v>0.708333333333333</v>
      </c>
      <c r="G24" s="16" t="str">
        <f aca="false">IF(D24="","",IF(D24="OFF","Weekly Off",IF(OR(D24="AL",D24="SL",D24="EL",D24="UL",D24="OL",D24="PH"),"On Leave","On Duty")))</f>
        <v>On Duty</v>
      </c>
    </row>
    <row r="25" customFormat="false" ht="15" hidden="false" customHeight="false" outlineLevel="0" collapsed="false">
      <c r="A25" s="16" t="str">
        <f aca="false">IFERROR(INDEX('Monthly Roster'!$D$5:$D$624,MATCH(1,('Monthly Roster'!$A$5:$A$624=$B$4)*('Monthly Roster'!$C$5:$C$624='Staff Master'!$A$23),0)),"")</f>
        <v>Hassan Baig</v>
      </c>
      <c r="B25" s="16" t="str">
        <f aca="false">'Staff Master'!D23</f>
        <v>Facilities</v>
      </c>
      <c r="C25" s="16" t="str">
        <f aca="false">'Staff Master'!E23</f>
        <v>Facility Manager</v>
      </c>
      <c r="D25" s="16" t="str">
        <f aca="false">IFERROR(INDEX('Monthly Roster'!$G$5:$G$624,MATCH(1,('Monthly Roster'!$A$5:$A$624=$B$4)*('Monthly Roster'!$C$5:$C$624='Staff Master'!$A$23),0)),"")</f>
        <v>M2</v>
      </c>
      <c r="E25" s="17" t="n">
        <f aca="false">IFERROR(INDEX('Monthly Roster'!$H$5:$H$624,MATCH(1,('Monthly Roster'!$A$5:$A$624=$B$4)*('Monthly Roster'!$C$5:$C$624='Staff Master'!$A$23),0)),"")</f>
        <v>0.375</v>
      </c>
      <c r="F25" s="17" t="n">
        <f aca="false">IFERROR(INDEX('Monthly Roster'!$I$5:$I$624,MATCH(1,('Monthly Roster'!$A$5:$A$624=$B$4)*('Monthly Roster'!$C$5:$C$624='Staff Master'!$A$23),0)),"")</f>
        <v>0.75</v>
      </c>
      <c r="G25" s="16" t="str">
        <f aca="false">IF(D25="","",IF(D25="OFF","Weekly Off",IF(OR(D25="AL",D25="SL",D25="EL",D25="UL",D25="OL",D25="PH"),"On Leave","On Duty")))</f>
        <v>On Duty</v>
      </c>
    </row>
    <row r="26" customFormat="false" ht="15" hidden="false" customHeight="false" outlineLevel="0" collapsed="false">
      <c r="A26" s="16" t="str">
        <f aca="false">IFERROR(INDEX('Monthly Roster'!$D$5:$D$624,MATCH(1,('Monthly Roster'!$A$5:$A$624=$B$4)*('Monthly Roster'!$C$5:$C$624='Staff Master'!$A$24),0)),"")</f>
        <v>Meera Pillai</v>
      </c>
      <c r="B26" s="16" t="str">
        <f aca="false">'Staff Master'!D24</f>
        <v>HR</v>
      </c>
      <c r="C26" s="16" t="str">
        <f aca="false">'Staff Master'!E24</f>
        <v>HR Executive</v>
      </c>
      <c r="D26" s="16" t="str">
        <f aca="false">IFERROR(INDEX('Monthly Roster'!$G$5:$G$624,MATCH(1,('Monthly Roster'!$A$5:$A$624=$B$4)*('Monthly Roster'!$C$5:$C$624='Staff Master'!$A$24),0)),"")</f>
        <v>M2</v>
      </c>
      <c r="E26" s="17" t="n">
        <f aca="false">IFERROR(INDEX('Monthly Roster'!$H$5:$H$624,MATCH(1,('Monthly Roster'!$A$5:$A$624=$B$4)*('Monthly Roster'!$C$5:$C$624='Staff Master'!$A$24),0)),"")</f>
        <v>0.375</v>
      </c>
      <c r="F26" s="17" t="n">
        <f aca="false">IFERROR(INDEX('Monthly Roster'!$I$5:$I$624,MATCH(1,('Monthly Roster'!$A$5:$A$624=$B$4)*('Monthly Roster'!$C$5:$C$624='Staff Master'!$A$24),0)),"")</f>
        <v>0.75</v>
      </c>
      <c r="G26" s="16" t="str">
        <f aca="false">IF(D26="","",IF(D26="OFF","Weekly Off",IF(OR(D26="AL",D26="SL",D26="EL",D26="UL",D26="OL",D26="PH"),"On Leave","On Duty")))</f>
        <v>On Duty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4"/>
    <col collapsed="false" customWidth="true" hidden="false" outlineLevel="0" max="5" min="4" style="0" width="12"/>
    <col collapsed="false" customWidth="true" hidden="false" outlineLevel="0" max="6" min="6" style="0" width="7"/>
    <col collapsed="false" customWidth="true" hidden="false" outlineLevel="0" max="7" min="7" style="0" width="26"/>
    <col collapsed="false" customWidth="true" hidden="false" outlineLevel="0" max="9" min="8" style="0" width="14"/>
    <col collapsed="false" customWidth="true" hidden="false" outlineLevel="0" max="10" min="10" style="0" width="11"/>
    <col collapsed="false" customWidth="true" hidden="false" outlineLevel="0" max="11" min="11" style="0" width="20"/>
  </cols>
  <sheetData>
    <row r="1" customFormat="false" ht="19.7" hidden="false" customHeight="false" outlineLevel="0" collapsed="false">
      <c r="A1" s="1" t="s">
        <v>233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234</v>
      </c>
      <c r="B2" s="2"/>
      <c r="C2" s="2"/>
      <c r="D2" s="2"/>
      <c r="E2" s="2"/>
      <c r="F2" s="2"/>
      <c r="G2" s="2"/>
      <c r="H2" s="2"/>
    </row>
    <row r="4" customFormat="false" ht="19.5" hidden="false" customHeight="true" outlineLevel="0" collapsed="false">
      <c r="A4" s="12" t="s">
        <v>223</v>
      </c>
      <c r="B4" s="12" t="s">
        <v>117</v>
      </c>
      <c r="C4" s="12" t="s">
        <v>235</v>
      </c>
      <c r="D4" s="12" t="s">
        <v>236</v>
      </c>
      <c r="E4" s="12" t="s">
        <v>237</v>
      </c>
      <c r="F4" s="12" t="s">
        <v>238</v>
      </c>
      <c r="G4" s="12" t="s">
        <v>239</v>
      </c>
      <c r="H4" s="12" t="s">
        <v>240</v>
      </c>
      <c r="I4" s="12" t="s">
        <v>241</v>
      </c>
      <c r="J4" s="12" t="s">
        <v>225</v>
      </c>
      <c r="K4" s="12" t="s">
        <v>127</v>
      </c>
    </row>
    <row r="5" customFormat="false" ht="15" hidden="false" customHeight="false" outlineLevel="0" collapsed="false">
      <c r="A5" s="10" t="s">
        <v>165</v>
      </c>
      <c r="B5" s="10" t="s">
        <v>46</v>
      </c>
      <c r="C5" s="10" t="s">
        <v>101</v>
      </c>
      <c r="D5" s="4" t="n">
        <v>46300</v>
      </c>
      <c r="E5" s="4" t="n">
        <v>46305</v>
      </c>
      <c r="F5" s="10" t="n">
        <f aca="false">E5-D5+1</f>
        <v>6</v>
      </c>
      <c r="G5" s="10" t="s">
        <v>242</v>
      </c>
      <c r="H5" s="10" t="s">
        <v>166</v>
      </c>
      <c r="I5" s="10" t="s">
        <v>37</v>
      </c>
      <c r="J5" s="10" t="s">
        <v>243</v>
      </c>
      <c r="K5" s="10"/>
    </row>
    <row r="6" customFormat="false" ht="15" hidden="false" customHeight="false" outlineLevel="0" collapsed="false">
      <c r="A6" s="10" t="s">
        <v>184</v>
      </c>
      <c r="B6" s="10" t="s">
        <v>41</v>
      </c>
      <c r="C6" s="10" t="s">
        <v>103</v>
      </c>
      <c r="D6" s="4" t="n">
        <v>46309</v>
      </c>
      <c r="E6" s="4" t="n">
        <v>46310</v>
      </c>
      <c r="F6" s="10" t="n">
        <f aca="false">E6-D6+1</f>
        <v>2</v>
      </c>
      <c r="G6" s="10" t="s">
        <v>244</v>
      </c>
      <c r="H6" s="10" t="s">
        <v>185</v>
      </c>
      <c r="I6" s="10" t="s">
        <v>37</v>
      </c>
      <c r="J6" s="10" t="s">
        <v>243</v>
      </c>
      <c r="K6" s="10"/>
    </row>
    <row r="7" customFormat="false" ht="15" hidden="false" customHeight="false" outlineLevel="0" collapsed="false">
      <c r="A7" s="10" t="s">
        <v>179</v>
      </c>
      <c r="B7" s="10" t="s">
        <v>41</v>
      </c>
      <c r="C7" s="10" t="s">
        <v>103</v>
      </c>
      <c r="D7" s="4" t="n">
        <v>46317</v>
      </c>
      <c r="E7" s="4" t="n">
        <v>46318</v>
      </c>
      <c r="F7" s="10" t="n">
        <f aca="false">E7-D7+1</f>
        <v>2</v>
      </c>
      <c r="G7" s="10" t="s">
        <v>244</v>
      </c>
      <c r="H7" s="10" t="s">
        <v>180</v>
      </c>
      <c r="I7" s="10"/>
      <c r="J7" s="10" t="s">
        <v>245</v>
      </c>
      <c r="K7" s="10"/>
    </row>
  </sheetData>
  <mergeCells count="2">
    <mergeCell ref="A1:H1"/>
    <mergeCell ref="A2:H2"/>
  </mergeCells>
  <dataValidations count="1">
    <dataValidation allowBlank="true" errorStyle="stop" operator="between" showDropDown="false" showErrorMessage="false" showInputMessage="false" sqref="J5:J37" type="list">
      <formula1>"Pending,Approved,Rejected"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7" min="7" style="0" width="28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1"/>
    <col collapsed="false" customWidth="true" hidden="false" outlineLevel="0" max="12" min="12" style="0" width="18"/>
    <col collapsed="false" customWidth="true" hidden="false" outlineLevel="0" max="13" min="13" style="0" width="14"/>
    <col collapsed="false" customWidth="true" hidden="false" outlineLevel="0" max="14" min="14" style="0" width="13"/>
    <col collapsed="false" customWidth="true" hidden="false" outlineLevel="0" max="15" min="15" style="0" width="15"/>
  </cols>
  <sheetData>
    <row r="1" customFormat="false" ht="19.7" hidden="false" customHeight="false" outlineLevel="0" collapsed="false">
      <c r="A1" s="1" t="s">
        <v>246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247</v>
      </c>
      <c r="B2" s="2"/>
      <c r="C2" s="2"/>
      <c r="D2" s="2"/>
      <c r="E2" s="2"/>
      <c r="F2" s="2"/>
      <c r="G2" s="2"/>
      <c r="H2" s="2"/>
    </row>
    <row r="4" customFormat="false" ht="19.5" hidden="false" customHeight="true" outlineLevel="0" collapsed="false">
      <c r="A4" s="12" t="s">
        <v>248</v>
      </c>
      <c r="B4" s="12" t="s">
        <v>223</v>
      </c>
      <c r="C4" s="12" t="s">
        <v>117</v>
      </c>
      <c r="D4" s="12" t="s">
        <v>222</v>
      </c>
      <c r="E4" s="12" t="s">
        <v>249</v>
      </c>
      <c r="F4" s="12" t="s">
        <v>250</v>
      </c>
      <c r="G4" s="12" t="s">
        <v>239</v>
      </c>
      <c r="H4" s="12" t="s">
        <v>240</v>
      </c>
      <c r="I4" s="12" t="s">
        <v>251</v>
      </c>
      <c r="J4" s="12" t="s">
        <v>252</v>
      </c>
      <c r="K4" s="12" t="s">
        <v>253</v>
      </c>
      <c r="L4" s="12" t="s">
        <v>254</v>
      </c>
      <c r="M4" s="12" t="s">
        <v>241</v>
      </c>
      <c r="N4" s="12" t="s">
        <v>255</v>
      </c>
      <c r="O4" s="12" t="s">
        <v>225</v>
      </c>
    </row>
    <row r="5" customFormat="false" ht="15" hidden="false" customHeight="false" outlineLevel="0" collapsed="false">
      <c r="A5" s="10" t="s">
        <v>256</v>
      </c>
      <c r="B5" s="10" t="s">
        <v>189</v>
      </c>
      <c r="C5" s="10" t="s">
        <v>43</v>
      </c>
      <c r="D5" s="4" t="n">
        <v>46303</v>
      </c>
      <c r="E5" s="10" t="s">
        <v>87</v>
      </c>
      <c r="F5" s="10" t="s">
        <v>90</v>
      </c>
      <c r="G5" s="10" t="s">
        <v>257</v>
      </c>
      <c r="H5" s="10" t="s">
        <v>189</v>
      </c>
      <c r="I5" s="4" t="n">
        <v>46283</v>
      </c>
      <c r="J5" s="10" t="s">
        <v>245</v>
      </c>
      <c r="K5" s="10" t="s">
        <v>245</v>
      </c>
      <c r="L5" s="10"/>
      <c r="M5" s="10"/>
      <c r="N5" s="10"/>
      <c r="O5" s="10" t="s">
        <v>258</v>
      </c>
    </row>
    <row r="6" customFormat="false" ht="15" hidden="false" customHeight="false" outlineLevel="0" collapsed="false">
      <c r="A6" s="18"/>
      <c r="B6" s="18"/>
      <c r="C6" s="18"/>
      <c r="D6" s="19"/>
      <c r="E6" s="18"/>
      <c r="F6" s="18"/>
      <c r="G6" s="18"/>
      <c r="H6" s="18"/>
      <c r="I6" s="19"/>
      <c r="J6" s="18"/>
      <c r="K6" s="18"/>
      <c r="L6" s="18"/>
      <c r="M6" s="18"/>
      <c r="N6" s="18"/>
      <c r="O6" s="18"/>
    </row>
    <row r="7" customFormat="false" ht="15" hidden="false" customHeight="false" outlineLevel="0" collapsed="false">
      <c r="A7" s="18"/>
      <c r="B7" s="18"/>
      <c r="C7" s="18"/>
      <c r="D7" s="19"/>
      <c r="E7" s="18"/>
      <c r="F7" s="18"/>
      <c r="G7" s="18"/>
      <c r="H7" s="18"/>
      <c r="I7" s="19"/>
      <c r="J7" s="18"/>
      <c r="K7" s="18"/>
      <c r="L7" s="18"/>
      <c r="M7" s="18"/>
      <c r="N7" s="18"/>
      <c r="O7" s="18"/>
    </row>
    <row r="8" customFormat="false" ht="15" hidden="false" customHeight="false" outlineLevel="0" collapsed="false">
      <c r="A8" s="18"/>
      <c r="B8" s="18"/>
      <c r="C8" s="18"/>
      <c r="D8" s="19"/>
      <c r="E8" s="18"/>
      <c r="F8" s="18"/>
      <c r="G8" s="18"/>
      <c r="H8" s="18"/>
      <c r="I8" s="19"/>
      <c r="J8" s="18"/>
      <c r="K8" s="18"/>
      <c r="L8" s="18"/>
      <c r="M8" s="18"/>
      <c r="N8" s="18"/>
      <c r="O8" s="18"/>
    </row>
    <row r="9" customFormat="false" ht="15" hidden="false" customHeight="false" outlineLevel="0" collapsed="false">
      <c r="A9" s="18"/>
      <c r="B9" s="18"/>
      <c r="C9" s="18"/>
      <c r="D9" s="19"/>
      <c r="E9" s="18"/>
      <c r="F9" s="18"/>
      <c r="G9" s="18"/>
      <c r="H9" s="18"/>
      <c r="I9" s="19"/>
      <c r="J9" s="18"/>
      <c r="K9" s="18"/>
      <c r="L9" s="18"/>
      <c r="M9" s="18"/>
      <c r="N9" s="18"/>
      <c r="O9" s="18"/>
    </row>
  </sheetData>
  <mergeCells count="2">
    <mergeCell ref="A1:H1"/>
    <mergeCell ref="A2:H2"/>
  </mergeCells>
  <dataValidations count="1">
    <dataValidation allowBlank="true" errorStyle="stop" operator="between" showDropDown="false" showErrorMessage="false" showInputMessage="false" sqref="O5:O35" type="list">
      <formula1>"Submitted,Pending Manager,Pending HR,Approved,Rejected,Cancelled"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32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7"/>
    <col collapsed="false" customWidth="true" hidden="false" outlineLevel="0" max="10" min="10" style="0" width="14"/>
  </cols>
  <sheetData>
    <row r="1" customFormat="false" ht="19.7" hidden="false" customHeight="false" outlineLevel="0" collapsed="false">
      <c r="A1" s="1" t="s">
        <v>259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260</v>
      </c>
      <c r="B2" s="2"/>
      <c r="C2" s="2"/>
      <c r="D2" s="2"/>
      <c r="E2" s="2"/>
      <c r="F2" s="2"/>
      <c r="G2" s="2"/>
      <c r="H2" s="2"/>
    </row>
    <row r="4" customFormat="false" ht="19.5" hidden="false" customHeight="true" outlineLevel="0" collapsed="false">
      <c r="A4" s="12" t="s">
        <v>261</v>
      </c>
      <c r="B4" s="12" t="s">
        <v>222</v>
      </c>
      <c r="C4" s="12" t="s">
        <v>223</v>
      </c>
      <c r="D4" s="12" t="s">
        <v>262</v>
      </c>
      <c r="E4" s="12" t="s">
        <v>263</v>
      </c>
      <c r="F4" s="12" t="s">
        <v>239</v>
      </c>
      <c r="G4" s="12" t="s">
        <v>240</v>
      </c>
      <c r="H4" s="12" t="s">
        <v>241</v>
      </c>
      <c r="I4" s="12" t="s">
        <v>264</v>
      </c>
      <c r="J4" s="12" t="s">
        <v>265</v>
      </c>
    </row>
    <row r="5" customFormat="false" ht="15" hidden="false" customHeight="false" outlineLevel="0" collapsed="false">
      <c r="A5" s="13" t="s">
        <v>266</v>
      </c>
      <c r="B5" s="20" t="n">
        <v>46254</v>
      </c>
      <c r="C5" s="13" t="s">
        <v>171</v>
      </c>
      <c r="D5" s="13" t="s">
        <v>90</v>
      </c>
      <c r="E5" s="13" t="s">
        <v>94</v>
      </c>
      <c r="F5" s="13" t="s">
        <v>267</v>
      </c>
      <c r="G5" s="13" t="s">
        <v>44</v>
      </c>
      <c r="H5" s="13" t="s">
        <v>37</v>
      </c>
      <c r="I5" s="13" t="s">
        <v>268</v>
      </c>
      <c r="J5" s="13" t="s">
        <v>37</v>
      </c>
    </row>
    <row r="6" customFormat="false" ht="15" hidden="false" customHeight="false" outlineLevel="0" collapsed="false">
      <c r="A6" s="13" t="s">
        <v>269</v>
      </c>
      <c r="B6" s="20" t="n">
        <v>46270</v>
      </c>
      <c r="C6" s="13" t="s">
        <v>180</v>
      </c>
      <c r="D6" s="13" t="s">
        <v>87</v>
      </c>
      <c r="E6" s="13" t="s">
        <v>90</v>
      </c>
      <c r="F6" s="13" t="s">
        <v>270</v>
      </c>
      <c r="G6" s="13" t="s">
        <v>180</v>
      </c>
      <c r="H6" s="13" t="s">
        <v>37</v>
      </c>
      <c r="I6" s="13" t="s">
        <v>271</v>
      </c>
      <c r="J6" s="13" t="s">
        <v>37</v>
      </c>
    </row>
    <row r="7" customFormat="false" ht="15" hidden="false" customHeight="false" outlineLevel="0" collapsed="false">
      <c r="A7" s="13" t="s">
        <v>272</v>
      </c>
      <c r="B7" s="20" t="n">
        <v>46289</v>
      </c>
      <c r="C7" s="13" t="s">
        <v>175</v>
      </c>
      <c r="D7" s="13" t="s">
        <v>87</v>
      </c>
      <c r="E7" s="13" t="s">
        <v>102</v>
      </c>
      <c r="F7" s="13" t="s">
        <v>273</v>
      </c>
      <c r="G7" s="13" t="s">
        <v>37</v>
      </c>
      <c r="H7" s="13" t="s">
        <v>37</v>
      </c>
      <c r="I7" s="13" t="s">
        <v>274</v>
      </c>
      <c r="J7" s="13" t="s">
        <v>37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5"/>
  </cols>
  <sheetData>
    <row r="1" customFormat="false" ht="19.7" hidden="false" customHeight="false" outlineLevel="0" collapsed="false">
      <c r="A1" s="1" t="s">
        <v>275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276</v>
      </c>
      <c r="B2" s="2"/>
      <c r="C2" s="2"/>
      <c r="D2" s="2"/>
      <c r="E2" s="2"/>
      <c r="F2" s="2"/>
      <c r="G2" s="2"/>
      <c r="H2" s="2"/>
    </row>
    <row r="4" customFormat="false" ht="19.5" hidden="false" customHeight="true" outlineLevel="0" collapsed="false">
      <c r="A4" s="12" t="s">
        <v>223</v>
      </c>
      <c r="B4" s="12" t="s">
        <v>277</v>
      </c>
      <c r="C4" s="12" t="s">
        <v>278</v>
      </c>
      <c r="D4" s="12" t="s">
        <v>98</v>
      </c>
      <c r="E4" s="12" t="s">
        <v>101</v>
      </c>
      <c r="F4" s="12" t="s">
        <v>103</v>
      </c>
      <c r="G4" s="12" t="s">
        <v>109</v>
      </c>
      <c r="H4" s="12" t="s">
        <v>279</v>
      </c>
    </row>
    <row r="5" customFormat="false" ht="15" hidden="false" customHeight="false" outlineLevel="0" collapsed="false">
      <c r="A5" s="16" t="str">
        <f aca="false">'Staff Master'!B5</f>
        <v>Rashid Al Nuaimi</v>
      </c>
      <c r="B5" s="16" t="n">
        <f aca="false">COUNTIF('Monthly Roster'!$C$5:$C$624,'Staff Master'!$A$5)</f>
        <v>31</v>
      </c>
      <c r="C5" s="16" t="n">
        <f aca="false">COUNTIFS('Monthly Roster'!$C$5:$C$624,'Staff Master'!$A$5)-COUNTIFS('Monthly Roster'!$C$5:$C$624,'Staff Master'!$A$5,'Monthly Roster'!$G$5:$G$624,"OFF")-COUNTIFS('Monthly Roster'!$C$5:$C$624,'Staff Master'!$A$5,'Monthly Roster'!$G$5:$G$624,"AL")-COUNTIFS('Monthly Roster'!$C$5:$C$624,'Staff Master'!$A$5,'Monthly Roster'!$G$5:$G$624,"SL")-COUNTIFS('Monthly Roster'!$C$5:$C$624,'Staff Master'!$A$5,'Monthly Roster'!$G$5:$G$624,"EL")-COUNTIFS('Monthly Roster'!$C$5:$C$624,'Staff Master'!$A$5,'Monthly Roster'!$G$5:$G$624,"UL")-COUNTIFS('Monthly Roster'!$C$5:$C$624,'Staff Master'!$A$5,'Monthly Roster'!$G$5:$G$624,"OL")-COUNTIFS('Monthly Roster'!$C$5:$C$624,'Staff Master'!$A$5,'Monthly Roster'!$G$5:$G$624,"PH")</f>
        <v>26</v>
      </c>
      <c r="D5" s="16" t="n">
        <f aca="false">COUNTIFS('Monthly Roster'!$C$5:$C$624,'Staff Master'!$A$5,'Monthly Roster'!$G$5:$G$624,"OFF")</f>
        <v>5</v>
      </c>
      <c r="E5" s="16" t="n">
        <f aca="false">COUNTIFS('Monthly Roster'!$C$5:$C$624,'Staff Master'!$A$5,'Monthly Roster'!$G$5:$G$624,"AL")</f>
        <v>0</v>
      </c>
      <c r="F5" s="16" t="n">
        <f aca="false">COUNTIFS('Monthly Roster'!$C$5:$C$624,'Staff Master'!$A$5,'Monthly Roster'!$G$5:$G$624,"SL")</f>
        <v>0</v>
      </c>
      <c r="G5" s="16" t="n">
        <f aca="false">SUMPRODUCT(('Monthly Roster'!$C$5:$C$624='Staff Master'!$A$5)*(('Monthly Roster'!$G$5:$G$624="EL")+('Monthly Roster'!$G$5:$G$624="UL")+('Monthly Roster'!$G$5:$G$624="OL")+('Monthly Roster'!$G$5:$G$624="PH")))</f>
        <v>0</v>
      </c>
      <c r="H5" s="16" t="n">
        <f aca="false">SUMIFS('Monthly Roster'!$K$5:$K$624,'Monthly Roster'!$C$5:$C$624,'Staff Master'!$A$5)</f>
        <v>208</v>
      </c>
    </row>
    <row r="6" customFormat="false" ht="15" hidden="false" customHeight="false" outlineLevel="0" collapsed="false">
      <c r="A6" s="16" t="str">
        <f aca="false">'Staff Master'!B6</f>
        <v>Dr. Sara Haddad</v>
      </c>
      <c r="B6" s="16" t="n">
        <f aca="false">COUNTIF('Monthly Roster'!$C$5:$C$624,'Staff Master'!$A$6)</f>
        <v>31</v>
      </c>
      <c r="C6" s="16" t="n">
        <f aca="false">COUNTIFS('Monthly Roster'!$C$5:$C$624,'Staff Master'!$A$6)-COUNTIFS('Monthly Roster'!$C$5:$C$624,'Staff Master'!$A$6,'Monthly Roster'!$G$5:$G$624,"OFF")-COUNTIFS('Monthly Roster'!$C$5:$C$624,'Staff Master'!$A$6,'Monthly Roster'!$G$5:$G$624,"AL")-COUNTIFS('Monthly Roster'!$C$5:$C$624,'Staff Master'!$A$6,'Monthly Roster'!$G$5:$G$624,"SL")-COUNTIFS('Monthly Roster'!$C$5:$C$624,'Staff Master'!$A$6,'Monthly Roster'!$G$5:$G$624,"EL")-COUNTIFS('Monthly Roster'!$C$5:$C$624,'Staff Master'!$A$6,'Monthly Roster'!$G$5:$G$624,"UL")-COUNTIFS('Monthly Roster'!$C$5:$C$624,'Staff Master'!$A$6,'Monthly Roster'!$G$5:$G$624,"OL")-COUNTIFS('Monthly Roster'!$C$5:$C$624,'Staff Master'!$A$6,'Monthly Roster'!$G$5:$G$624,"PH")</f>
        <v>26</v>
      </c>
      <c r="D6" s="16" t="n">
        <f aca="false">COUNTIFS('Monthly Roster'!$C$5:$C$624,'Staff Master'!$A$6,'Monthly Roster'!$G$5:$G$624,"OFF")</f>
        <v>5</v>
      </c>
      <c r="E6" s="16" t="n">
        <f aca="false">COUNTIFS('Monthly Roster'!$C$5:$C$624,'Staff Master'!$A$6,'Monthly Roster'!$G$5:$G$624,"AL")</f>
        <v>0</v>
      </c>
      <c r="F6" s="16" t="n">
        <f aca="false">COUNTIFS('Monthly Roster'!$C$5:$C$624,'Staff Master'!$A$6,'Monthly Roster'!$G$5:$G$624,"SL")</f>
        <v>0</v>
      </c>
      <c r="G6" s="16" t="n">
        <f aca="false">SUMPRODUCT(('Monthly Roster'!$C$5:$C$624='Staff Master'!$A$6)*(('Monthly Roster'!$G$5:$G$624="EL")+('Monthly Roster'!$G$5:$G$624="UL")+('Monthly Roster'!$G$5:$G$624="OL")+('Monthly Roster'!$G$5:$G$624="PH")))</f>
        <v>0</v>
      </c>
      <c r="H6" s="16" t="n">
        <f aca="false">SUMIFS('Monthly Roster'!$K$5:$K$624,'Monthly Roster'!$C$5:$C$624,'Staff Master'!$A$6)</f>
        <v>182</v>
      </c>
    </row>
    <row r="7" customFormat="false" ht="15" hidden="false" customHeight="false" outlineLevel="0" collapsed="false">
      <c r="A7" s="16" t="str">
        <f aca="false">'Staff Master'!B7</f>
        <v>Dr. Omar Khalil</v>
      </c>
      <c r="B7" s="16" t="n">
        <f aca="false">COUNTIF('Monthly Roster'!$C$5:$C$624,'Staff Master'!$A$7)</f>
        <v>31</v>
      </c>
      <c r="C7" s="16" t="n">
        <f aca="false">COUNTIFS('Monthly Roster'!$C$5:$C$624,'Staff Master'!$A$7)-COUNTIFS('Monthly Roster'!$C$5:$C$624,'Staff Master'!$A$7,'Monthly Roster'!$G$5:$G$624,"OFF")-COUNTIFS('Monthly Roster'!$C$5:$C$624,'Staff Master'!$A$7,'Monthly Roster'!$G$5:$G$624,"AL")-COUNTIFS('Monthly Roster'!$C$5:$C$624,'Staff Master'!$A$7,'Monthly Roster'!$G$5:$G$624,"SL")-COUNTIFS('Monthly Roster'!$C$5:$C$624,'Staff Master'!$A$7,'Monthly Roster'!$G$5:$G$624,"EL")-COUNTIFS('Monthly Roster'!$C$5:$C$624,'Staff Master'!$A$7,'Monthly Roster'!$G$5:$G$624,"UL")-COUNTIFS('Monthly Roster'!$C$5:$C$624,'Staff Master'!$A$7,'Monthly Roster'!$G$5:$G$624,"OL")-COUNTIFS('Monthly Roster'!$C$5:$C$624,'Staff Master'!$A$7,'Monthly Roster'!$G$5:$G$624,"PH")</f>
        <v>26</v>
      </c>
      <c r="D7" s="16" t="n">
        <f aca="false">COUNTIFS('Monthly Roster'!$C$5:$C$624,'Staff Master'!$A$7,'Monthly Roster'!$G$5:$G$624,"OFF")</f>
        <v>5</v>
      </c>
      <c r="E7" s="16" t="n">
        <f aca="false">COUNTIFS('Monthly Roster'!$C$5:$C$624,'Staff Master'!$A$7,'Monthly Roster'!$G$5:$G$624,"AL")</f>
        <v>0</v>
      </c>
      <c r="F7" s="16" t="n">
        <f aca="false">COUNTIFS('Monthly Roster'!$C$5:$C$624,'Staff Master'!$A$7,'Monthly Roster'!$G$5:$G$624,"SL")</f>
        <v>0</v>
      </c>
      <c r="G7" s="16" t="n">
        <f aca="false">SUMPRODUCT(('Monthly Roster'!$C$5:$C$624='Staff Master'!$A$7)*(('Monthly Roster'!$G$5:$G$624="EL")+('Monthly Roster'!$G$5:$G$624="UL")+('Monthly Roster'!$G$5:$G$624="OL")+('Monthly Roster'!$G$5:$G$624="PH")))</f>
        <v>0</v>
      </c>
      <c r="H7" s="16" t="n">
        <f aca="false">SUMIFS('Monthly Roster'!$K$5:$K$624,'Monthly Roster'!$C$5:$C$624,'Staff Master'!$A$7)</f>
        <v>182</v>
      </c>
    </row>
    <row r="8" customFormat="false" ht="15" hidden="false" customHeight="false" outlineLevel="0" collapsed="false">
      <c r="A8" s="16" t="str">
        <f aca="false">'Staff Master'!B8</f>
        <v>Dr. Lina Abboud</v>
      </c>
      <c r="B8" s="16" t="n">
        <f aca="false">COUNTIF('Monthly Roster'!$C$5:$C$624,'Staff Master'!$A$8)</f>
        <v>31</v>
      </c>
      <c r="C8" s="16" t="n">
        <f aca="false">COUNTIFS('Monthly Roster'!$C$5:$C$624,'Staff Master'!$A$8)-COUNTIFS('Monthly Roster'!$C$5:$C$624,'Staff Master'!$A$8,'Monthly Roster'!$G$5:$G$624,"OFF")-COUNTIFS('Monthly Roster'!$C$5:$C$624,'Staff Master'!$A$8,'Monthly Roster'!$G$5:$G$624,"AL")-COUNTIFS('Monthly Roster'!$C$5:$C$624,'Staff Master'!$A$8,'Monthly Roster'!$G$5:$G$624,"SL")-COUNTIFS('Monthly Roster'!$C$5:$C$624,'Staff Master'!$A$8,'Monthly Roster'!$G$5:$G$624,"EL")-COUNTIFS('Monthly Roster'!$C$5:$C$624,'Staff Master'!$A$8,'Monthly Roster'!$G$5:$G$624,"UL")-COUNTIFS('Monthly Roster'!$C$5:$C$624,'Staff Master'!$A$8,'Monthly Roster'!$G$5:$G$624,"OL")-COUNTIFS('Monthly Roster'!$C$5:$C$624,'Staff Master'!$A$8,'Monthly Roster'!$G$5:$G$624,"PH")</f>
        <v>26</v>
      </c>
      <c r="D8" s="16" t="n">
        <f aca="false">COUNTIFS('Monthly Roster'!$C$5:$C$624,'Staff Master'!$A$8,'Monthly Roster'!$G$5:$G$624,"OFF")</f>
        <v>5</v>
      </c>
      <c r="E8" s="16" t="n">
        <f aca="false">COUNTIFS('Monthly Roster'!$C$5:$C$624,'Staff Master'!$A$8,'Monthly Roster'!$G$5:$G$624,"AL")</f>
        <v>0</v>
      </c>
      <c r="F8" s="16" t="n">
        <f aca="false">COUNTIFS('Monthly Roster'!$C$5:$C$624,'Staff Master'!$A$8,'Monthly Roster'!$G$5:$G$624,"SL")</f>
        <v>0</v>
      </c>
      <c r="G8" s="16" t="n">
        <f aca="false">SUMPRODUCT(('Monthly Roster'!$C$5:$C$624='Staff Master'!$A$8)*(('Monthly Roster'!$G$5:$G$624="EL")+('Monthly Roster'!$G$5:$G$624="UL")+('Monthly Roster'!$G$5:$G$624="OL")+('Monthly Roster'!$G$5:$G$624="PH")))</f>
        <v>0</v>
      </c>
      <c r="H8" s="16" t="n">
        <f aca="false">SUMIFS('Monthly Roster'!$K$5:$K$624,'Monthly Roster'!$C$5:$C$624,'Staff Master'!$A$8)</f>
        <v>182</v>
      </c>
    </row>
    <row r="9" customFormat="false" ht="15" hidden="false" customHeight="false" outlineLevel="0" collapsed="false">
      <c r="A9" s="16" t="str">
        <f aca="false">'Staff Master'!B9</f>
        <v>Dr. Farah Idris</v>
      </c>
      <c r="B9" s="16" t="n">
        <f aca="false">COUNTIF('Monthly Roster'!$C$5:$C$624,'Staff Master'!$A$9)</f>
        <v>31</v>
      </c>
      <c r="C9" s="16" t="n">
        <f aca="false">COUNTIFS('Monthly Roster'!$C$5:$C$624,'Staff Master'!$A$9)-COUNTIFS('Monthly Roster'!$C$5:$C$624,'Staff Master'!$A$9,'Monthly Roster'!$G$5:$G$624,"OFF")-COUNTIFS('Monthly Roster'!$C$5:$C$624,'Staff Master'!$A$9,'Monthly Roster'!$G$5:$G$624,"AL")-COUNTIFS('Monthly Roster'!$C$5:$C$624,'Staff Master'!$A$9,'Monthly Roster'!$G$5:$G$624,"SL")-COUNTIFS('Monthly Roster'!$C$5:$C$624,'Staff Master'!$A$9,'Monthly Roster'!$G$5:$G$624,"EL")-COUNTIFS('Monthly Roster'!$C$5:$C$624,'Staff Master'!$A$9,'Monthly Roster'!$G$5:$G$624,"UL")-COUNTIFS('Monthly Roster'!$C$5:$C$624,'Staff Master'!$A$9,'Monthly Roster'!$G$5:$G$624,"OL")-COUNTIFS('Monthly Roster'!$C$5:$C$624,'Staff Master'!$A$9,'Monthly Roster'!$G$5:$G$624,"PH")</f>
        <v>27</v>
      </c>
      <c r="D9" s="16" t="n">
        <f aca="false">COUNTIFS('Monthly Roster'!$C$5:$C$624,'Staff Master'!$A$9,'Monthly Roster'!$G$5:$G$624,"OFF")</f>
        <v>4</v>
      </c>
      <c r="E9" s="16" t="n">
        <f aca="false">COUNTIFS('Monthly Roster'!$C$5:$C$624,'Staff Master'!$A$9,'Monthly Roster'!$G$5:$G$624,"AL")</f>
        <v>0</v>
      </c>
      <c r="F9" s="16" t="n">
        <f aca="false">COUNTIFS('Monthly Roster'!$C$5:$C$624,'Staff Master'!$A$9,'Monthly Roster'!$G$5:$G$624,"SL")</f>
        <v>0</v>
      </c>
      <c r="G9" s="16" t="n">
        <f aca="false">SUMPRODUCT(('Monthly Roster'!$C$5:$C$624='Staff Master'!$A$9)*(('Monthly Roster'!$G$5:$G$624="EL")+('Monthly Roster'!$G$5:$G$624="UL")+('Monthly Roster'!$G$5:$G$624="OL")+('Monthly Roster'!$G$5:$G$624="PH")))</f>
        <v>0</v>
      </c>
      <c r="H9" s="16" t="n">
        <f aca="false">SUMIFS('Monthly Roster'!$K$5:$K$624,'Monthly Roster'!$C$5:$C$624,'Staff Master'!$A$9)</f>
        <v>189</v>
      </c>
    </row>
    <row r="10" customFormat="false" ht="15" hidden="false" customHeight="false" outlineLevel="0" collapsed="false">
      <c r="A10" s="16" t="str">
        <f aca="false">'Staff Master'!B10</f>
        <v>Dr. Youssef Nassar</v>
      </c>
      <c r="B10" s="16" t="n">
        <f aca="false">COUNTIF('Monthly Roster'!$C$5:$C$624,'Staff Master'!$A$10)</f>
        <v>31</v>
      </c>
      <c r="C10" s="16" t="n">
        <f aca="false">COUNTIFS('Monthly Roster'!$C$5:$C$624,'Staff Master'!$A$10)-COUNTIFS('Monthly Roster'!$C$5:$C$624,'Staff Master'!$A$10,'Monthly Roster'!$G$5:$G$624,"OFF")-COUNTIFS('Monthly Roster'!$C$5:$C$624,'Staff Master'!$A$10,'Monthly Roster'!$G$5:$G$624,"AL")-COUNTIFS('Monthly Roster'!$C$5:$C$624,'Staff Master'!$A$10,'Monthly Roster'!$G$5:$G$624,"SL")-COUNTIFS('Monthly Roster'!$C$5:$C$624,'Staff Master'!$A$10,'Monthly Roster'!$G$5:$G$624,"EL")-COUNTIFS('Monthly Roster'!$C$5:$C$624,'Staff Master'!$A$10,'Monthly Roster'!$G$5:$G$624,"UL")-COUNTIFS('Monthly Roster'!$C$5:$C$624,'Staff Master'!$A$10,'Monthly Roster'!$G$5:$G$624,"OL")-COUNTIFS('Monthly Roster'!$C$5:$C$624,'Staff Master'!$A$10,'Monthly Roster'!$G$5:$G$624,"PH")</f>
        <v>26</v>
      </c>
      <c r="D10" s="16" t="n">
        <f aca="false">COUNTIFS('Monthly Roster'!$C$5:$C$624,'Staff Master'!$A$10,'Monthly Roster'!$G$5:$G$624,"OFF")</f>
        <v>5</v>
      </c>
      <c r="E10" s="16" t="n">
        <f aca="false">COUNTIFS('Monthly Roster'!$C$5:$C$624,'Staff Master'!$A$10,'Monthly Roster'!$G$5:$G$624,"AL")</f>
        <v>0</v>
      </c>
      <c r="F10" s="16" t="n">
        <f aca="false">COUNTIFS('Monthly Roster'!$C$5:$C$624,'Staff Master'!$A$10,'Monthly Roster'!$G$5:$G$624,"SL")</f>
        <v>0</v>
      </c>
      <c r="G10" s="16" t="n">
        <f aca="false">SUMPRODUCT(('Monthly Roster'!$C$5:$C$624='Staff Master'!$A$10)*(('Monthly Roster'!$G$5:$G$624="EL")+('Monthly Roster'!$G$5:$G$624="UL")+('Monthly Roster'!$G$5:$G$624="OL")+('Monthly Roster'!$G$5:$G$624="PH")))</f>
        <v>0</v>
      </c>
      <c r="H10" s="16" t="n">
        <f aca="false">SUMIFS('Monthly Roster'!$K$5:$K$624,'Monthly Roster'!$C$5:$C$624,'Staff Master'!$A$10)</f>
        <v>182</v>
      </c>
    </row>
    <row r="11" customFormat="false" ht="15" hidden="false" customHeight="false" outlineLevel="0" collapsed="false">
      <c r="A11" s="16" t="str">
        <f aca="false">'Staff Master'!B11</f>
        <v>Grace Fernandez</v>
      </c>
      <c r="B11" s="16" t="n">
        <f aca="false">COUNTIF('Monthly Roster'!$C$5:$C$624,'Staff Master'!$A$11)</f>
        <v>31</v>
      </c>
      <c r="C11" s="16" t="n">
        <f aca="false">COUNTIFS('Monthly Roster'!$C$5:$C$624,'Staff Master'!$A$11)-COUNTIFS('Monthly Roster'!$C$5:$C$624,'Staff Master'!$A$11,'Monthly Roster'!$G$5:$G$624,"OFF")-COUNTIFS('Monthly Roster'!$C$5:$C$624,'Staff Master'!$A$11,'Monthly Roster'!$G$5:$G$624,"AL")-COUNTIFS('Monthly Roster'!$C$5:$C$624,'Staff Master'!$A$11,'Monthly Roster'!$G$5:$G$624,"SL")-COUNTIFS('Monthly Roster'!$C$5:$C$624,'Staff Master'!$A$11,'Monthly Roster'!$G$5:$G$624,"EL")-COUNTIFS('Monthly Roster'!$C$5:$C$624,'Staff Master'!$A$11,'Monthly Roster'!$G$5:$G$624,"UL")-COUNTIFS('Monthly Roster'!$C$5:$C$624,'Staff Master'!$A$11,'Monthly Roster'!$G$5:$G$624,"OL")-COUNTIFS('Monthly Roster'!$C$5:$C$624,'Staff Master'!$A$11,'Monthly Roster'!$G$5:$G$624,"PH")</f>
        <v>27</v>
      </c>
      <c r="D11" s="16" t="n">
        <f aca="false">COUNTIFS('Monthly Roster'!$C$5:$C$624,'Staff Master'!$A$11,'Monthly Roster'!$G$5:$G$624,"OFF")</f>
        <v>4</v>
      </c>
      <c r="E11" s="16" t="n">
        <f aca="false">COUNTIFS('Monthly Roster'!$C$5:$C$624,'Staff Master'!$A$11,'Monthly Roster'!$G$5:$G$624,"AL")</f>
        <v>0</v>
      </c>
      <c r="F11" s="16" t="n">
        <f aca="false">COUNTIFS('Monthly Roster'!$C$5:$C$624,'Staff Master'!$A$11,'Monthly Roster'!$G$5:$G$624,"SL")</f>
        <v>0</v>
      </c>
      <c r="G11" s="16" t="n">
        <f aca="false">SUMPRODUCT(('Monthly Roster'!$C$5:$C$624='Staff Master'!$A$11)*(('Monthly Roster'!$G$5:$G$624="EL")+('Monthly Roster'!$G$5:$G$624="UL")+('Monthly Roster'!$G$5:$G$624="OL")+('Monthly Roster'!$G$5:$G$624="PH")))</f>
        <v>0</v>
      </c>
      <c r="H11" s="16" t="n">
        <f aca="false">SUMIFS('Monthly Roster'!$K$5:$K$624,'Monthly Roster'!$C$5:$C$624,'Staff Master'!$A$11)</f>
        <v>216</v>
      </c>
    </row>
    <row r="12" customFormat="false" ht="15" hidden="false" customHeight="false" outlineLevel="0" collapsed="false">
      <c r="A12" s="16" t="str">
        <f aca="false">'Staff Master'!B12</f>
        <v>Priya Nair</v>
      </c>
      <c r="B12" s="16" t="n">
        <f aca="false">COUNTIF('Monthly Roster'!$C$5:$C$624,'Staff Master'!$A$12)</f>
        <v>31</v>
      </c>
      <c r="C12" s="16" t="n">
        <f aca="false">COUNTIFS('Monthly Roster'!$C$5:$C$624,'Staff Master'!$A$12)-COUNTIFS('Monthly Roster'!$C$5:$C$624,'Staff Master'!$A$12,'Monthly Roster'!$G$5:$G$624,"OFF")-COUNTIFS('Monthly Roster'!$C$5:$C$624,'Staff Master'!$A$12,'Monthly Roster'!$G$5:$G$624,"AL")-COUNTIFS('Monthly Roster'!$C$5:$C$624,'Staff Master'!$A$12,'Monthly Roster'!$G$5:$G$624,"SL")-COUNTIFS('Monthly Roster'!$C$5:$C$624,'Staff Master'!$A$12,'Monthly Roster'!$G$5:$G$624,"EL")-COUNTIFS('Monthly Roster'!$C$5:$C$624,'Staff Master'!$A$12,'Monthly Roster'!$G$5:$G$624,"UL")-COUNTIFS('Monthly Roster'!$C$5:$C$624,'Staff Master'!$A$12,'Monthly Roster'!$G$5:$G$624,"OL")-COUNTIFS('Monthly Roster'!$C$5:$C$624,'Staff Master'!$A$12,'Monthly Roster'!$G$5:$G$624,"PH")</f>
        <v>22</v>
      </c>
      <c r="D12" s="16" t="n">
        <f aca="false">COUNTIFS('Monthly Roster'!$C$5:$C$624,'Staff Master'!$A$12,'Monthly Roster'!$G$5:$G$624,"OFF")</f>
        <v>3</v>
      </c>
      <c r="E12" s="16" t="n">
        <f aca="false">COUNTIFS('Monthly Roster'!$C$5:$C$624,'Staff Master'!$A$12,'Monthly Roster'!$G$5:$G$624,"AL")</f>
        <v>6</v>
      </c>
      <c r="F12" s="16" t="n">
        <f aca="false">COUNTIFS('Monthly Roster'!$C$5:$C$624,'Staff Master'!$A$12,'Monthly Roster'!$G$5:$G$624,"SL")</f>
        <v>0</v>
      </c>
      <c r="G12" s="16" t="n">
        <f aca="false">SUMPRODUCT(('Monthly Roster'!$C$5:$C$624='Staff Master'!$A$12)*(('Monthly Roster'!$G$5:$G$624="EL")+('Monthly Roster'!$G$5:$G$624="UL")+('Monthly Roster'!$G$5:$G$624="OL")+('Monthly Roster'!$G$5:$G$624="PH")))</f>
        <v>0</v>
      </c>
      <c r="H12" s="16" t="n">
        <f aca="false">SUMIFS('Monthly Roster'!$K$5:$K$624,'Monthly Roster'!$C$5:$C$624,'Staff Master'!$A$12)</f>
        <v>176</v>
      </c>
    </row>
    <row r="13" customFormat="false" ht="15" hidden="false" customHeight="false" outlineLevel="0" collapsed="false">
      <c r="A13" s="16" t="str">
        <f aca="false">'Staff Master'!B13</f>
        <v>Maria Santos</v>
      </c>
      <c r="B13" s="16" t="n">
        <f aca="false">COUNTIF('Monthly Roster'!$C$5:$C$624,'Staff Master'!$A$13)</f>
        <v>31</v>
      </c>
      <c r="C13" s="16" t="n">
        <f aca="false">COUNTIFS('Monthly Roster'!$C$5:$C$624,'Staff Master'!$A$13)-COUNTIFS('Monthly Roster'!$C$5:$C$624,'Staff Master'!$A$13,'Monthly Roster'!$G$5:$G$624,"OFF")-COUNTIFS('Monthly Roster'!$C$5:$C$624,'Staff Master'!$A$13,'Monthly Roster'!$G$5:$G$624,"AL")-COUNTIFS('Monthly Roster'!$C$5:$C$624,'Staff Master'!$A$13,'Monthly Roster'!$G$5:$G$624,"SL")-COUNTIFS('Monthly Roster'!$C$5:$C$624,'Staff Master'!$A$13,'Monthly Roster'!$G$5:$G$624,"EL")-COUNTIFS('Monthly Roster'!$C$5:$C$624,'Staff Master'!$A$13,'Monthly Roster'!$G$5:$G$624,"UL")-COUNTIFS('Monthly Roster'!$C$5:$C$624,'Staff Master'!$A$13,'Monthly Roster'!$G$5:$G$624,"OL")-COUNTIFS('Monthly Roster'!$C$5:$C$624,'Staff Master'!$A$13,'Monthly Roster'!$G$5:$G$624,"PH")</f>
        <v>26</v>
      </c>
      <c r="D13" s="16" t="n">
        <f aca="false">COUNTIFS('Monthly Roster'!$C$5:$C$624,'Staff Master'!$A$13,'Monthly Roster'!$G$5:$G$624,"OFF")</f>
        <v>5</v>
      </c>
      <c r="E13" s="16" t="n">
        <f aca="false">COUNTIFS('Monthly Roster'!$C$5:$C$624,'Staff Master'!$A$13,'Monthly Roster'!$G$5:$G$624,"AL")</f>
        <v>0</v>
      </c>
      <c r="F13" s="16" t="n">
        <f aca="false">COUNTIFS('Monthly Roster'!$C$5:$C$624,'Staff Master'!$A$13,'Monthly Roster'!$G$5:$G$624,"SL")</f>
        <v>0</v>
      </c>
      <c r="G13" s="16" t="n">
        <f aca="false">SUMPRODUCT(('Monthly Roster'!$C$5:$C$624='Staff Master'!$A$13)*(('Monthly Roster'!$G$5:$G$624="EL")+('Monthly Roster'!$G$5:$G$624="UL")+('Monthly Roster'!$G$5:$G$624="OL")+('Monthly Roster'!$G$5:$G$624="PH")))</f>
        <v>0</v>
      </c>
      <c r="H13" s="16" t="n">
        <f aca="false">SUMIFS('Monthly Roster'!$K$5:$K$624,'Monthly Roster'!$C$5:$C$624,'Staff Master'!$A$13)</f>
        <v>208</v>
      </c>
    </row>
    <row r="14" customFormat="false" ht="15" hidden="false" customHeight="false" outlineLevel="0" collapsed="false">
      <c r="A14" s="16" t="str">
        <f aca="false">'Staff Master'!B14</f>
        <v>Aisha Al Shamsi</v>
      </c>
      <c r="B14" s="16" t="n">
        <f aca="false">COUNTIF('Monthly Roster'!$C$5:$C$624,'Staff Master'!$A$14)</f>
        <v>31</v>
      </c>
      <c r="C14" s="16" t="n">
        <f aca="false">COUNTIFS('Monthly Roster'!$C$5:$C$624,'Staff Master'!$A$14)-COUNTIFS('Monthly Roster'!$C$5:$C$624,'Staff Master'!$A$14,'Monthly Roster'!$G$5:$G$624,"OFF")-COUNTIFS('Monthly Roster'!$C$5:$C$624,'Staff Master'!$A$14,'Monthly Roster'!$G$5:$G$624,"AL")-COUNTIFS('Monthly Roster'!$C$5:$C$624,'Staff Master'!$A$14,'Monthly Roster'!$G$5:$G$624,"SL")-COUNTIFS('Monthly Roster'!$C$5:$C$624,'Staff Master'!$A$14,'Monthly Roster'!$G$5:$G$624,"EL")-COUNTIFS('Monthly Roster'!$C$5:$C$624,'Staff Master'!$A$14,'Monthly Roster'!$G$5:$G$624,"UL")-COUNTIFS('Monthly Roster'!$C$5:$C$624,'Staff Master'!$A$14,'Monthly Roster'!$G$5:$G$624,"OL")-COUNTIFS('Monthly Roster'!$C$5:$C$624,'Staff Master'!$A$14,'Monthly Roster'!$G$5:$G$624,"PH")</f>
        <v>27</v>
      </c>
      <c r="D14" s="16" t="n">
        <f aca="false">COUNTIFS('Monthly Roster'!$C$5:$C$624,'Staff Master'!$A$14,'Monthly Roster'!$G$5:$G$624,"OFF")</f>
        <v>4</v>
      </c>
      <c r="E14" s="16" t="n">
        <f aca="false">COUNTIFS('Monthly Roster'!$C$5:$C$624,'Staff Master'!$A$14,'Monthly Roster'!$G$5:$G$624,"AL")</f>
        <v>0</v>
      </c>
      <c r="F14" s="16" t="n">
        <f aca="false">COUNTIFS('Monthly Roster'!$C$5:$C$624,'Staff Master'!$A$14,'Monthly Roster'!$G$5:$G$624,"SL")</f>
        <v>0</v>
      </c>
      <c r="G14" s="16" t="n">
        <f aca="false">SUMPRODUCT(('Monthly Roster'!$C$5:$C$624='Staff Master'!$A$14)*(('Monthly Roster'!$G$5:$G$624="EL")+('Monthly Roster'!$G$5:$G$624="UL")+('Monthly Roster'!$G$5:$G$624="OL")+('Monthly Roster'!$G$5:$G$624="PH")))</f>
        <v>0</v>
      </c>
      <c r="H14" s="16" t="n">
        <f aca="false">SUMIFS('Monthly Roster'!$K$5:$K$624,'Monthly Roster'!$C$5:$C$624,'Staff Master'!$A$14)</f>
        <v>216</v>
      </c>
    </row>
    <row r="15" customFormat="false" ht="15" hidden="false" customHeight="false" outlineLevel="0" collapsed="false">
      <c r="A15" s="16" t="str">
        <f aca="false">'Staff Master'!B15</f>
        <v>John Dsouza</v>
      </c>
      <c r="B15" s="16" t="n">
        <f aca="false">COUNTIF('Monthly Roster'!$C$5:$C$624,'Staff Master'!$A$15)</f>
        <v>31</v>
      </c>
      <c r="C15" s="16" t="n">
        <f aca="false">COUNTIFS('Monthly Roster'!$C$5:$C$624,'Staff Master'!$A$15)-COUNTIFS('Monthly Roster'!$C$5:$C$624,'Staff Master'!$A$15,'Monthly Roster'!$G$5:$G$624,"OFF")-COUNTIFS('Monthly Roster'!$C$5:$C$624,'Staff Master'!$A$15,'Monthly Roster'!$G$5:$G$624,"AL")-COUNTIFS('Monthly Roster'!$C$5:$C$624,'Staff Master'!$A$15,'Monthly Roster'!$G$5:$G$624,"SL")-COUNTIFS('Monthly Roster'!$C$5:$C$624,'Staff Master'!$A$15,'Monthly Roster'!$G$5:$G$624,"EL")-COUNTIFS('Monthly Roster'!$C$5:$C$624,'Staff Master'!$A$15,'Monthly Roster'!$G$5:$G$624,"UL")-COUNTIFS('Monthly Roster'!$C$5:$C$624,'Staff Master'!$A$15,'Monthly Roster'!$G$5:$G$624,"OL")-COUNTIFS('Monthly Roster'!$C$5:$C$624,'Staff Master'!$A$15,'Monthly Roster'!$G$5:$G$624,"PH")</f>
        <v>27</v>
      </c>
      <c r="D15" s="16" t="n">
        <f aca="false">COUNTIFS('Monthly Roster'!$C$5:$C$624,'Staff Master'!$A$15,'Monthly Roster'!$G$5:$G$624,"OFF")</f>
        <v>4</v>
      </c>
      <c r="E15" s="16" t="n">
        <f aca="false">COUNTIFS('Monthly Roster'!$C$5:$C$624,'Staff Master'!$A$15,'Monthly Roster'!$G$5:$G$624,"AL")</f>
        <v>0</v>
      </c>
      <c r="F15" s="16" t="n">
        <f aca="false">COUNTIFS('Monthly Roster'!$C$5:$C$624,'Staff Master'!$A$15,'Monthly Roster'!$G$5:$G$624,"SL")</f>
        <v>0</v>
      </c>
      <c r="G15" s="16" t="n">
        <f aca="false">SUMPRODUCT(('Monthly Roster'!$C$5:$C$624='Staff Master'!$A$15)*(('Monthly Roster'!$G$5:$G$624="EL")+('Monthly Roster'!$G$5:$G$624="UL")+('Monthly Roster'!$G$5:$G$624="OL")+('Monthly Roster'!$G$5:$G$624="PH")))</f>
        <v>0</v>
      </c>
      <c r="H15" s="16" t="n">
        <f aca="false">SUMIFS('Monthly Roster'!$K$5:$K$624,'Monthly Roster'!$C$5:$C$624,'Staff Master'!$A$15)</f>
        <v>216</v>
      </c>
    </row>
    <row r="16" customFormat="false" ht="15" hidden="false" customHeight="false" outlineLevel="0" collapsed="false">
      <c r="A16" s="16" t="str">
        <f aca="false">'Staff Master'!B16</f>
        <v>Fatima Zahra</v>
      </c>
      <c r="B16" s="16" t="n">
        <f aca="false">COUNTIF('Monthly Roster'!$C$5:$C$624,'Staff Master'!$A$16)</f>
        <v>31</v>
      </c>
      <c r="C16" s="16" t="n">
        <f aca="false">COUNTIFS('Monthly Roster'!$C$5:$C$624,'Staff Master'!$A$16)-COUNTIFS('Monthly Roster'!$C$5:$C$624,'Staff Master'!$A$16,'Monthly Roster'!$G$5:$G$624,"OFF")-COUNTIFS('Monthly Roster'!$C$5:$C$624,'Staff Master'!$A$16,'Monthly Roster'!$G$5:$G$624,"AL")-COUNTIFS('Monthly Roster'!$C$5:$C$624,'Staff Master'!$A$16,'Monthly Roster'!$G$5:$G$624,"SL")-COUNTIFS('Monthly Roster'!$C$5:$C$624,'Staff Master'!$A$16,'Monthly Roster'!$G$5:$G$624,"EL")-COUNTIFS('Monthly Roster'!$C$5:$C$624,'Staff Master'!$A$16,'Monthly Roster'!$G$5:$G$624,"UL")-COUNTIFS('Monthly Roster'!$C$5:$C$624,'Staff Master'!$A$16,'Monthly Roster'!$G$5:$G$624,"OL")-COUNTIFS('Monthly Roster'!$C$5:$C$624,'Staff Master'!$A$16,'Monthly Roster'!$G$5:$G$624,"PH")</f>
        <v>24</v>
      </c>
      <c r="D16" s="16" t="n">
        <f aca="false">COUNTIFS('Monthly Roster'!$C$5:$C$624,'Staff Master'!$A$16,'Monthly Roster'!$G$5:$G$624,"OFF")</f>
        <v>5</v>
      </c>
      <c r="E16" s="16" t="n">
        <f aca="false">COUNTIFS('Monthly Roster'!$C$5:$C$624,'Staff Master'!$A$16,'Monthly Roster'!$G$5:$G$624,"AL")</f>
        <v>0</v>
      </c>
      <c r="F16" s="16" t="n">
        <f aca="false">COUNTIFS('Monthly Roster'!$C$5:$C$624,'Staff Master'!$A$16,'Monthly Roster'!$G$5:$G$624,"SL")</f>
        <v>2</v>
      </c>
      <c r="G16" s="16" t="n">
        <f aca="false">SUMPRODUCT(('Monthly Roster'!$C$5:$C$624='Staff Master'!$A$16)*(('Monthly Roster'!$G$5:$G$624="EL")+('Monthly Roster'!$G$5:$G$624="UL")+('Monthly Roster'!$G$5:$G$624="OL")+('Monthly Roster'!$G$5:$G$624="PH")))</f>
        <v>0</v>
      </c>
      <c r="H16" s="16" t="n">
        <f aca="false">SUMIFS('Monthly Roster'!$K$5:$K$624,'Monthly Roster'!$C$5:$C$624,'Staff Master'!$A$16)</f>
        <v>192</v>
      </c>
    </row>
    <row r="17" customFormat="false" ht="15" hidden="false" customHeight="false" outlineLevel="0" collapsed="false">
      <c r="A17" s="16" t="str">
        <f aca="false">'Staff Master'!B17</f>
        <v>Ana Reyes</v>
      </c>
      <c r="B17" s="16" t="n">
        <f aca="false">COUNTIF('Monthly Roster'!$C$5:$C$624,'Staff Master'!$A$17)</f>
        <v>31</v>
      </c>
      <c r="C17" s="16" t="n">
        <f aca="false">COUNTIFS('Monthly Roster'!$C$5:$C$624,'Staff Master'!$A$17)-COUNTIFS('Monthly Roster'!$C$5:$C$624,'Staff Master'!$A$17,'Monthly Roster'!$G$5:$G$624,"OFF")-COUNTIFS('Monthly Roster'!$C$5:$C$624,'Staff Master'!$A$17,'Monthly Roster'!$G$5:$G$624,"AL")-COUNTIFS('Monthly Roster'!$C$5:$C$624,'Staff Master'!$A$17,'Monthly Roster'!$G$5:$G$624,"SL")-COUNTIFS('Monthly Roster'!$C$5:$C$624,'Staff Master'!$A$17,'Monthly Roster'!$G$5:$G$624,"EL")-COUNTIFS('Monthly Roster'!$C$5:$C$624,'Staff Master'!$A$17,'Monthly Roster'!$G$5:$G$624,"UL")-COUNTIFS('Monthly Roster'!$C$5:$C$624,'Staff Master'!$A$17,'Monthly Roster'!$G$5:$G$624,"OL")-COUNTIFS('Monthly Roster'!$C$5:$C$624,'Staff Master'!$A$17,'Monthly Roster'!$G$5:$G$624,"PH")</f>
        <v>27</v>
      </c>
      <c r="D17" s="16" t="n">
        <f aca="false">COUNTIFS('Monthly Roster'!$C$5:$C$624,'Staff Master'!$A$17,'Monthly Roster'!$G$5:$G$624,"OFF")</f>
        <v>4</v>
      </c>
      <c r="E17" s="16" t="n">
        <f aca="false">COUNTIFS('Monthly Roster'!$C$5:$C$624,'Staff Master'!$A$17,'Monthly Roster'!$G$5:$G$624,"AL")</f>
        <v>0</v>
      </c>
      <c r="F17" s="16" t="n">
        <f aca="false">COUNTIFS('Monthly Roster'!$C$5:$C$624,'Staff Master'!$A$17,'Monthly Roster'!$G$5:$G$624,"SL")</f>
        <v>0</v>
      </c>
      <c r="G17" s="16" t="n">
        <f aca="false">SUMPRODUCT(('Monthly Roster'!$C$5:$C$624='Staff Master'!$A$17)*(('Monthly Roster'!$G$5:$G$624="EL")+('Monthly Roster'!$G$5:$G$624="UL")+('Monthly Roster'!$G$5:$G$624="OL")+('Monthly Roster'!$G$5:$G$624="PH")))</f>
        <v>0</v>
      </c>
      <c r="H17" s="16" t="n">
        <f aca="false">SUMIFS('Monthly Roster'!$K$5:$K$624,'Monthly Roster'!$C$5:$C$624,'Staff Master'!$A$17)</f>
        <v>216</v>
      </c>
    </row>
    <row r="18" customFormat="false" ht="15" hidden="false" customHeight="false" outlineLevel="0" collapsed="false">
      <c r="A18" s="16" t="str">
        <f aca="false">'Staff Master'!B18</f>
        <v>Noor Hassan</v>
      </c>
      <c r="B18" s="16" t="n">
        <f aca="false">COUNTIF('Monthly Roster'!$C$5:$C$624,'Staff Master'!$A$18)</f>
        <v>31</v>
      </c>
      <c r="C18" s="16" t="n">
        <f aca="false">COUNTIFS('Monthly Roster'!$C$5:$C$624,'Staff Master'!$A$18)-COUNTIFS('Monthly Roster'!$C$5:$C$624,'Staff Master'!$A$18,'Monthly Roster'!$G$5:$G$624,"OFF")-COUNTIFS('Monthly Roster'!$C$5:$C$624,'Staff Master'!$A$18,'Monthly Roster'!$G$5:$G$624,"AL")-COUNTIFS('Monthly Roster'!$C$5:$C$624,'Staff Master'!$A$18,'Monthly Roster'!$G$5:$G$624,"SL")-COUNTIFS('Monthly Roster'!$C$5:$C$624,'Staff Master'!$A$18,'Monthly Roster'!$G$5:$G$624,"EL")-COUNTIFS('Monthly Roster'!$C$5:$C$624,'Staff Master'!$A$18,'Monthly Roster'!$G$5:$G$624,"UL")-COUNTIFS('Monthly Roster'!$C$5:$C$624,'Staff Master'!$A$18,'Monthly Roster'!$G$5:$G$624,"OL")-COUNTIFS('Monthly Roster'!$C$5:$C$624,'Staff Master'!$A$18,'Monthly Roster'!$G$5:$G$624,"PH")</f>
        <v>26</v>
      </c>
      <c r="D18" s="16" t="n">
        <f aca="false">COUNTIFS('Monthly Roster'!$C$5:$C$624,'Staff Master'!$A$18,'Monthly Roster'!$G$5:$G$624,"OFF")</f>
        <v>5</v>
      </c>
      <c r="E18" s="16" t="n">
        <f aca="false">COUNTIFS('Monthly Roster'!$C$5:$C$624,'Staff Master'!$A$18,'Monthly Roster'!$G$5:$G$624,"AL")</f>
        <v>0</v>
      </c>
      <c r="F18" s="16" t="n">
        <f aca="false">COUNTIFS('Monthly Roster'!$C$5:$C$624,'Staff Master'!$A$18,'Monthly Roster'!$G$5:$G$624,"SL")</f>
        <v>0</v>
      </c>
      <c r="G18" s="16" t="n">
        <f aca="false">SUMPRODUCT(('Monthly Roster'!$C$5:$C$624='Staff Master'!$A$18)*(('Monthly Roster'!$G$5:$G$624="EL")+('Monthly Roster'!$G$5:$G$624="UL")+('Monthly Roster'!$G$5:$G$624="OL")+('Monthly Roster'!$G$5:$G$624="PH")))</f>
        <v>0</v>
      </c>
      <c r="H18" s="16" t="n">
        <f aca="false">SUMIFS('Monthly Roster'!$K$5:$K$624,'Monthly Roster'!$C$5:$C$624,'Staff Master'!$A$18)</f>
        <v>208</v>
      </c>
    </row>
    <row r="19" customFormat="false" ht="15" hidden="false" customHeight="false" outlineLevel="0" collapsed="false">
      <c r="A19" s="16" t="str">
        <f aca="false">'Staff Master'!B19</f>
        <v>Karan Mehta</v>
      </c>
      <c r="B19" s="16" t="n">
        <f aca="false">COUNTIF('Monthly Roster'!$C$5:$C$624,'Staff Master'!$A$19)</f>
        <v>31</v>
      </c>
      <c r="C19" s="16" t="n">
        <f aca="false">COUNTIFS('Monthly Roster'!$C$5:$C$624,'Staff Master'!$A$19)-COUNTIFS('Monthly Roster'!$C$5:$C$624,'Staff Master'!$A$19,'Monthly Roster'!$G$5:$G$624,"OFF")-COUNTIFS('Monthly Roster'!$C$5:$C$624,'Staff Master'!$A$19,'Monthly Roster'!$G$5:$G$624,"AL")-COUNTIFS('Monthly Roster'!$C$5:$C$624,'Staff Master'!$A$19,'Monthly Roster'!$G$5:$G$624,"SL")-COUNTIFS('Monthly Roster'!$C$5:$C$624,'Staff Master'!$A$19,'Monthly Roster'!$G$5:$G$624,"EL")-COUNTIFS('Monthly Roster'!$C$5:$C$624,'Staff Master'!$A$19,'Monthly Roster'!$G$5:$G$624,"UL")-COUNTIFS('Monthly Roster'!$C$5:$C$624,'Staff Master'!$A$19,'Monthly Roster'!$G$5:$G$624,"OL")-COUNTIFS('Monthly Roster'!$C$5:$C$624,'Staff Master'!$A$19,'Monthly Roster'!$G$5:$G$624,"PH")</f>
        <v>26</v>
      </c>
      <c r="D19" s="16" t="n">
        <f aca="false">COUNTIFS('Monthly Roster'!$C$5:$C$624,'Staff Master'!$A$19,'Monthly Roster'!$G$5:$G$624,"OFF")</f>
        <v>5</v>
      </c>
      <c r="E19" s="16" t="n">
        <f aca="false">COUNTIFS('Monthly Roster'!$C$5:$C$624,'Staff Master'!$A$19,'Monthly Roster'!$G$5:$G$624,"AL")</f>
        <v>0</v>
      </c>
      <c r="F19" s="16" t="n">
        <f aca="false">COUNTIFS('Monthly Roster'!$C$5:$C$624,'Staff Master'!$A$19,'Monthly Roster'!$G$5:$G$624,"SL")</f>
        <v>0</v>
      </c>
      <c r="G19" s="16" t="n">
        <f aca="false">SUMPRODUCT(('Monthly Roster'!$C$5:$C$624='Staff Master'!$A$19)*(('Monthly Roster'!$G$5:$G$624="EL")+('Monthly Roster'!$G$5:$G$624="UL")+('Monthly Roster'!$G$5:$G$624="OL")+('Monthly Roster'!$G$5:$G$624="PH")))</f>
        <v>0</v>
      </c>
      <c r="H19" s="16" t="n">
        <f aca="false">SUMIFS('Monthly Roster'!$K$5:$K$624,'Monthly Roster'!$C$5:$C$624,'Staff Master'!$A$19)</f>
        <v>208</v>
      </c>
    </row>
    <row r="20" customFormat="false" ht="15" hidden="false" customHeight="false" outlineLevel="0" collapsed="false">
      <c r="A20" s="16" t="str">
        <f aca="false">'Staff Master'!B20</f>
        <v>Imran Sheikh</v>
      </c>
      <c r="B20" s="16" t="n">
        <f aca="false">COUNTIF('Monthly Roster'!$C$5:$C$624,'Staff Master'!$A$20)</f>
        <v>31</v>
      </c>
      <c r="C20" s="16" t="n">
        <f aca="false">COUNTIFS('Monthly Roster'!$C$5:$C$624,'Staff Master'!$A$20)-COUNTIFS('Monthly Roster'!$C$5:$C$624,'Staff Master'!$A$20,'Monthly Roster'!$G$5:$G$624,"OFF")-COUNTIFS('Monthly Roster'!$C$5:$C$624,'Staff Master'!$A$20,'Monthly Roster'!$G$5:$G$624,"AL")-COUNTIFS('Monthly Roster'!$C$5:$C$624,'Staff Master'!$A$20,'Monthly Roster'!$G$5:$G$624,"SL")-COUNTIFS('Monthly Roster'!$C$5:$C$624,'Staff Master'!$A$20,'Monthly Roster'!$G$5:$G$624,"EL")-COUNTIFS('Monthly Roster'!$C$5:$C$624,'Staff Master'!$A$20,'Monthly Roster'!$G$5:$G$624,"UL")-COUNTIFS('Monthly Roster'!$C$5:$C$624,'Staff Master'!$A$20,'Monthly Roster'!$G$5:$G$624,"OL")-COUNTIFS('Monthly Roster'!$C$5:$C$624,'Staff Master'!$A$20,'Monthly Roster'!$G$5:$G$624,"PH")</f>
        <v>26</v>
      </c>
      <c r="D20" s="16" t="n">
        <f aca="false">COUNTIFS('Monthly Roster'!$C$5:$C$624,'Staff Master'!$A$20,'Monthly Roster'!$G$5:$G$624,"OFF")</f>
        <v>5</v>
      </c>
      <c r="E20" s="16" t="n">
        <f aca="false">COUNTIFS('Monthly Roster'!$C$5:$C$624,'Staff Master'!$A$20,'Monthly Roster'!$G$5:$G$624,"AL")</f>
        <v>0</v>
      </c>
      <c r="F20" s="16" t="n">
        <f aca="false">COUNTIFS('Monthly Roster'!$C$5:$C$624,'Staff Master'!$A$20,'Monthly Roster'!$G$5:$G$624,"SL")</f>
        <v>0</v>
      </c>
      <c r="G20" s="16" t="n">
        <f aca="false">SUMPRODUCT(('Monthly Roster'!$C$5:$C$624='Staff Master'!$A$20)*(('Monthly Roster'!$G$5:$G$624="EL")+('Monthly Roster'!$G$5:$G$624="UL")+('Monthly Roster'!$G$5:$G$624="OL")+('Monthly Roster'!$G$5:$G$624="PH")))</f>
        <v>0</v>
      </c>
      <c r="H20" s="16" t="n">
        <f aca="false">SUMIFS('Monthly Roster'!$K$5:$K$624,'Monthly Roster'!$C$5:$C$624,'Staff Master'!$A$20)</f>
        <v>208</v>
      </c>
    </row>
    <row r="21" customFormat="false" ht="15" hidden="false" customHeight="false" outlineLevel="0" collapsed="false">
      <c r="A21" s="16" t="str">
        <f aca="false">'Staff Master'!B21</f>
        <v>Josephine Cruz</v>
      </c>
      <c r="B21" s="16" t="n">
        <f aca="false">COUNTIF('Monthly Roster'!$C$5:$C$624,'Staff Master'!$A$21)</f>
        <v>31</v>
      </c>
      <c r="C21" s="16" t="n">
        <f aca="false">COUNTIFS('Monthly Roster'!$C$5:$C$624,'Staff Master'!$A$21)-COUNTIFS('Monthly Roster'!$C$5:$C$624,'Staff Master'!$A$21,'Monthly Roster'!$G$5:$G$624,"OFF")-COUNTIFS('Monthly Roster'!$C$5:$C$624,'Staff Master'!$A$21,'Monthly Roster'!$G$5:$G$624,"AL")-COUNTIFS('Monthly Roster'!$C$5:$C$624,'Staff Master'!$A$21,'Monthly Roster'!$G$5:$G$624,"SL")-COUNTIFS('Monthly Roster'!$C$5:$C$624,'Staff Master'!$A$21,'Monthly Roster'!$G$5:$G$624,"EL")-COUNTIFS('Monthly Roster'!$C$5:$C$624,'Staff Master'!$A$21,'Monthly Roster'!$G$5:$G$624,"UL")-COUNTIFS('Monthly Roster'!$C$5:$C$624,'Staff Master'!$A$21,'Monthly Roster'!$G$5:$G$624,"OL")-COUNTIFS('Monthly Roster'!$C$5:$C$624,'Staff Master'!$A$21,'Monthly Roster'!$G$5:$G$624,"PH")</f>
        <v>27</v>
      </c>
      <c r="D21" s="16" t="n">
        <f aca="false">COUNTIFS('Monthly Roster'!$C$5:$C$624,'Staff Master'!$A$21,'Monthly Roster'!$G$5:$G$624,"OFF")</f>
        <v>4</v>
      </c>
      <c r="E21" s="16" t="n">
        <f aca="false">COUNTIFS('Monthly Roster'!$C$5:$C$624,'Staff Master'!$A$21,'Monthly Roster'!$G$5:$G$624,"AL")</f>
        <v>0</v>
      </c>
      <c r="F21" s="16" t="n">
        <f aca="false">COUNTIFS('Monthly Roster'!$C$5:$C$624,'Staff Master'!$A$21,'Monthly Roster'!$G$5:$G$624,"SL")</f>
        <v>0</v>
      </c>
      <c r="G21" s="16" t="n">
        <f aca="false">SUMPRODUCT(('Monthly Roster'!$C$5:$C$624='Staff Master'!$A$21)*(('Monthly Roster'!$G$5:$G$624="EL")+('Monthly Roster'!$G$5:$G$624="UL")+('Monthly Roster'!$G$5:$G$624="OL")+('Monthly Roster'!$G$5:$G$624="PH")))</f>
        <v>0</v>
      </c>
      <c r="H21" s="16" t="n">
        <f aca="false">SUMIFS('Monthly Roster'!$K$5:$K$624,'Monthly Roster'!$C$5:$C$624,'Staff Master'!$A$21)</f>
        <v>216</v>
      </c>
    </row>
    <row r="22" customFormat="false" ht="15" hidden="false" customHeight="false" outlineLevel="0" collapsed="false">
      <c r="A22" s="16" t="str">
        <f aca="false">'Staff Master'!B22</f>
        <v>Rosalyn Tan</v>
      </c>
      <c r="B22" s="16" t="n">
        <f aca="false">COUNTIF('Monthly Roster'!$C$5:$C$624,'Staff Master'!$A$22)</f>
        <v>31</v>
      </c>
      <c r="C22" s="16" t="n">
        <f aca="false">COUNTIFS('Monthly Roster'!$C$5:$C$624,'Staff Master'!$A$22)-COUNTIFS('Monthly Roster'!$C$5:$C$624,'Staff Master'!$A$22,'Monthly Roster'!$G$5:$G$624,"OFF")-COUNTIFS('Monthly Roster'!$C$5:$C$624,'Staff Master'!$A$22,'Monthly Roster'!$G$5:$G$624,"AL")-COUNTIFS('Monthly Roster'!$C$5:$C$624,'Staff Master'!$A$22,'Monthly Roster'!$G$5:$G$624,"SL")-COUNTIFS('Monthly Roster'!$C$5:$C$624,'Staff Master'!$A$22,'Monthly Roster'!$G$5:$G$624,"EL")-COUNTIFS('Monthly Roster'!$C$5:$C$624,'Staff Master'!$A$22,'Monthly Roster'!$G$5:$G$624,"UL")-COUNTIFS('Monthly Roster'!$C$5:$C$624,'Staff Master'!$A$22,'Monthly Roster'!$G$5:$G$624,"OL")-COUNTIFS('Monthly Roster'!$C$5:$C$624,'Staff Master'!$A$22,'Monthly Roster'!$G$5:$G$624,"PH")</f>
        <v>26</v>
      </c>
      <c r="D22" s="16" t="n">
        <f aca="false">COUNTIFS('Monthly Roster'!$C$5:$C$624,'Staff Master'!$A$22,'Monthly Roster'!$G$5:$G$624,"OFF")</f>
        <v>5</v>
      </c>
      <c r="E22" s="16" t="n">
        <f aca="false">COUNTIFS('Monthly Roster'!$C$5:$C$624,'Staff Master'!$A$22,'Monthly Roster'!$G$5:$G$624,"AL")</f>
        <v>0</v>
      </c>
      <c r="F22" s="16" t="n">
        <f aca="false">COUNTIFS('Monthly Roster'!$C$5:$C$624,'Staff Master'!$A$22,'Monthly Roster'!$G$5:$G$624,"SL")</f>
        <v>0</v>
      </c>
      <c r="G22" s="16" t="n">
        <f aca="false">SUMPRODUCT(('Monthly Roster'!$C$5:$C$624='Staff Master'!$A$22)*(('Monthly Roster'!$G$5:$G$624="EL")+('Monthly Roster'!$G$5:$G$624="UL")+('Monthly Roster'!$G$5:$G$624="OL")+('Monthly Roster'!$G$5:$G$624="PH")))</f>
        <v>0</v>
      </c>
      <c r="H22" s="16" t="n">
        <f aca="false">SUMIFS('Monthly Roster'!$K$5:$K$624,'Monthly Roster'!$C$5:$C$624,'Staff Master'!$A$22)</f>
        <v>208</v>
      </c>
    </row>
    <row r="23" customFormat="false" ht="15" hidden="false" customHeight="false" outlineLevel="0" collapsed="false">
      <c r="A23" s="16" t="str">
        <f aca="false">'Staff Master'!B23</f>
        <v>Hassan Baig</v>
      </c>
      <c r="B23" s="16" t="n">
        <f aca="false">COUNTIF('Monthly Roster'!$C$5:$C$624,'Staff Master'!$A$23)</f>
        <v>31</v>
      </c>
      <c r="C23" s="16" t="n">
        <f aca="false">COUNTIFS('Monthly Roster'!$C$5:$C$624,'Staff Master'!$A$23)-COUNTIFS('Monthly Roster'!$C$5:$C$624,'Staff Master'!$A$23,'Monthly Roster'!$G$5:$G$624,"OFF")-COUNTIFS('Monthly Roster'!$C$5:$C$624,'Staff Master'!$A$23,'Monthly Roster'!$G$5:$G$624,"AL")-COUNTIFS('Monthly Roster'!$C$5:$C$624,'Staff Master'!$A$23,'Monthly Roster'!$G$5:$G$624,"SL")-COUNTIFS('Monthly Roster'!$C$5:$C$624,'Staff Master'!$A$23,'Monthly Roster'!$G$5:$G$624,"EL")-COUNTIFS('Monthly Roster'!$C$5:$C$624,'Staff Master'!$A$23,'Monthly Roster'!$G$5:$G$624,"UL")-COUNTIFS('Monthly Roster'!$C$5:$C$624,'Staff Master'!$A$23,'Monthly Roster'!$G$5:$G$624,"OL")-COUNTIFS('Monthly Roster'!$C$5:$C$624,'Staff Master'!$A$23,'Monthly Roster'!$G$5:$G$624,"PH")</f>
        <v>26</v>
      </c>
      <c r="D23" s="16" t="n">
        <f aca="false">COUNTIFS('Monthly Roster'!$C$5:$C$624,'Staff Master'!$A$23,'Monthly Roster'!$G$5:$G$624,"OFF")</f>
        <v>5</v>
      </c>
      <c r="E23" s="16" t="n">
        <f aca="false">COUNTIFS('Monthly Roster'!$C$5:$C$624,'Staff Master'!$A$23,'Monthly Roster'!$G$5:$G$624,"AL")</f>
        <v>0</v>
      </c>
      <c r="F23" s="16" t="n">
        <f aca="false">COUNTIFS('Monthly Roster'!$C$5:$C$624,'Staff Master'!$A$23,'Monthly Roster'!$G$5:$G$624,"SL")</f>
        <v>0</v>
      </c>
      <c r="G23" s="16" t="n">
        <f aca="false">SUMPRODUCT(('Monthly Roster'!$C$5:$C$624='Staff Master'!$A$23)*(('Monthly Roster'!$G$5:$G$624="EL")+('Monthly Roster'!$G$5:$G$624="UL")+('Monthly Roster'!$G$5:$G$624="OL")+('Monthly Roster'!$G$5:$G$624="PH")))</f>
        <v>0</v>
      </c>
      <c r="H23" s="16" t="n">
        <f aca="false">SUMIFS('Monthly Roster'!$K$5:$K$624,'Monthly Roster'!$C$5:$C$624,'Staff Master'!$A$23)</f>
        <v>208</v>
      </c>
    </row>
    <row r="24" customFormat="false" ht="15" hidden="false" customHeight="false" outlineLevel="0" collapsed="false">
      <c r="A24" s="16" t="str">
        <f aca="false">'Staff Master'!B24</f>
        <v>Meera Pillai</v>
      </c>
      <c r="B24" s="16" t="n">
        <f aca="false">COUNTIF('Monthly Roster'!$C$5:$C$624,'Staff Master'!$A$24)</f>
        <v>31</v>
      </c>
      <c r="C24" s="16" t="n">
        <f aca="false">COUNTIFS('Monthly Roster'!$C$5:$C$624,'Staff Master'!$A$24)-COUNTIFS('Monthly Roster'!$C$5:$C$624,'Staff Master'!$A$24,'Monthly Roster'!$G$5:$G$624,"OFF")-COUNTIFS('Monthly Roster'!$C$5:$C$624,'Staff Master'!$A$24,'Monthly Roster'!$G$5:$G$624,"AL")-COUNTIFS('Monthly Roster'!$C$5:$C$624,'Staff Master'!$A$24,'Monthly Roster'!$G$5:$G$624,"SL")-COUNTIFS('Monthly Roster'!$C$5:$C$624,'Staff Master'!$A$24,'Monthly Roster'!$G$5:$G$624,"EL")-COUNTIFS('Monthly Roster'!$C$5:$C$624,'Staff Master'!$A$24,'Monthly Roster'!$G$5:$G$624,"UL")-COUNTIFS('Monthly Roster'!$C$5:$C$624,'Staff Master'!$A$24,'Monthly Roster'!$G$5:$G$624,"OL")-COUNTIFS('Monthly Roster'!$C$5:$C$624,'Staff Master'!$A$24,'Monthly Roster'!$G$5:$G$624,"PH")</f>
        <v>26</v>
      </c>
      <c r="D24" s="16" t="n">
        <f aca="false">COUNTIFS('Monthly Roster'!$C$5:$C$624,'Staff Master'!$A$24,'Monthly Roster'!$G$5:$G$624,"OFF")</f>
        <v>5</v>
      </c>
      <c r="E24" s="16" t="n">
        <f aca="false">COUNTIFS('Monthly Roster'!$C$5:$C$624,'Staff Master'!$A$24,'Monthly Roster'!$G$5:$G$624,"AL")</f>
        <v>0</v>
      </c>
      <c r="F24" s="16" t="n">
        <f aca="false">COUNTIFS('Monthly Roster'!$C$5:$C$624,'Staff Master'!$A$24,'Monthly Roster'!$G$5:$G$624,"SL")</f>
        <v>0</v>
      </c>
      <c r="G24" s="16" t="n">
        <f aca="false">SUMPRODUCT(('Monthly Roster'!$C$5:$C$624='Staff Master'!$A$24)*(('Monthly Roster'!$G$5:$G$624="EL")+('Monthly Roster'!$G$5:$G$624="UL")+('Monthly Roster'!$G$5:$G$624="OL")+('Monthly Roster'!$G$5:$G$624="PH")))</f>
        <v>0</v>
      </c>
      <c r="H24" s="16" t="n">
        <f aca="false">SUMIFS('Monthly Roster'!$K$5:$K$624,'Monthly Roster'!$C$5:$C$624,'Staff Master'!$A$24)</f>
        <v>208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</cols>
  <sheetData>
    <row r="1" customFormat="false" ht="19.7" hidden="false" customHeight="false" outlineLevel="0" collapsed="false">
      <c r="A1" s="1" t="s">
        <v>280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281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3" t="s">
        <v>282</v>
      </c>
      <c r="B4" s="21" t="s">
        <v>283</v>
      </c>
      <c r="C4" s="21"/>
      <c r="D4" s="21"/>
      <c r="E4" s="21"/>
      <c r="F4" s="21"/>
      <c r="G4" s="21"/>
      <c r="H4" s="21"/>
    </row>
    <row r="5" customFormat="false" ht="31.5" hidden="false" customHeight="true" outlineLevel="0" collapsed="false">
      <c r="A5" s="3" t="s">
        <v>284</v>
      </c>
      <c r="B5" s="21" t="s">
        <v>285</v>
      </c>
      <c r="C5" s="21"/>
      <c r="D5" s="21"/>
      <c r="E5" s="21"/>
      <c r="F5" s="21"/>
      <c r="G5" s="21"/>
      <c r="H5" s="21"/>
    </row>
    <row r="6" customFormat="false" ht="31.5" hidden="false" customHeight="true" outlineLevel="0" collapsed="false">
      <c r="A6" s="3" t="s">
        <v>286</v>
      </c>
      <c r="B6" s="21" t="s">
        <v>287</v>
      </c>
      <c r="C6" s="21"/>
      <c r="D6" s="21"/>
      <c r="E6" s="21"/>
      <c r="F6" s="21"/>
      <c r="G6" s="21"/>
      <c r="H6" s="21"/>
    </row>
    <row r="7" customFormat="false" ht="31.5" hidden="false" customHeight="true" outlineLevel="0" collapsed="false">
      <c r="A7" s="3" t="s">
        <v>288</v>
      </c>
      <c r="B7" s="21" t="s">
        <v>289</v>
      </c>
      <c r="C7" s="21"/>
      <c r="D7" s="21"/>
      <c r="E7" s="21"/>
      <c r="F7" s="21"/>
      <c r="G7" s="21"/>
      <c r="H7" s="21"/>
    </row>
    <row r="8" customFormat="false" ht="31.5" hidden="false" customHeight="true" outlineLevel="0" collapsed="false">
      <c r="A8" s="3" t="s">
        <v>290</v>
      </c>
      <c r="B8" s="21" t="s">
        <v>291</v>
      </c>
      <c r="C8" s="21"/>
      <c r="D8" s="21"/>
      <c r="E8" s="21"/>
      <c r="F8" s="21"/>
      <c r="G8" s="21"/>
      <c r="H8" s="21"/>
    </row>
    <row r="9" customFormat="false" ht="31.5" hidden="false" customHeight="true" outlineLevel="0" collapsed="false">
      <c r="A9" s="3" t="s">
        <v>292</v>
      </c>
      <c r="B9" s="21" t="s">
        <v>293</v>
      </c>
      <c r="C9" s="21"/>
      <c r="D9" s="21"/>
      <c r="E9" s="21"/>
      <c r="F9" s="21"/>
      <c r="G9" s="21"/>
      <c r="H9" s="21"/>
    </row>
    <row r="10" customFormat="false" ht="31.5" hidden="false" customHeight="true" outlineLevel="0" collapsed="false">
      <c r="A10" s="3" t="s">
        <v>294</v>
      </c>
      <c r="B10" s="21" t="s">
        <v>295</v>
      </c>
      <c r="C10" s="21"/>
      <c r="D10" s="21"/>
      <c r="E10" s="21"/>
      <c r="F10" s="21"/>
      <c r="G10" s="21"/>
      <c r="H10" s="21"/>
    </row>
    <row r="11" customFormat="false" ht="31.5" hidden="false" customHeight="true" outlineLevel="0" collapsed="false">
      <c r="A11" s="3" t="s">
        <v>296</v>
      </c>
      <c r="B11" s="21" t="s">
        <v>297</v>
      </c>
      <c r="C11" s="21"/>
      <c r="D11" s="21"/>
      <c r="E11" s="21"/>
      <c r="F11" s="21"/>
      <c r="G11" s="21"/>
      <c r="H11" s="21"/>
    </row>
    <row r="12" customFormat="false" ht="31.5" hidden="false" customHeight="true" outlineLevel="0" collapsed="false">
      <c r="A12" s="3" t="s">
        <v>298</v>
      </c>
      <c r="B12" s="21" t="s">
        <v>299</v>
      </c>
      <c r="C12" s="21"/>
      <c r="D12" s="21"/>
      <c r="E12" s="21"/>
      <c r="F12" s="21"/>
      <c r="G12" s="21"/>
      <c r="H12" s="21"/>
    </row>
    <row r="13" customFormat="false" ht="31.5" hidden="false" customHeight="true" outlineLevel="0" collapsed="false">
      <c r="A13" s="3" t="s">
        <v>300</v>
      </c>
      <c r="B13" s="21" t="s">
        <v>301</v>
      </c>
      <c r="C13" s="21"/>
      <c r="D13" s="21"/>
      <c r="E13" s="21"/>
      <c r="F13" s="21"/>
      <c r="G13" s="21"/>
      <c r="H13" s="21"/>
    </row>
    <row r="14" customFormat="false" ht="31.5" hidden="false" customHeight="true" outlineLevel="0" collapsed="false">
      <c r="A14" s="3" t="s">
        <v>302</v>
      </c>
      <c r="B14" s="21" t="s">
        <v>303</v>
      </c>
      <c r="C14" s="21"/>
      <c r="D14" s="21"/>
      <c r="E14" s="21"/>
      <c r="F14" s="21"/>
      <c r="G14" s="21"/>
      <c r="H14" s="21"/>
    </row>
    <row r="15" customFormat="false" ht="31.5" hidden="false" customHeight="true" outlineLevel="0" collapsed="false">
      <c r="A15" s="3" t="s">
        <v>304</v>
      </c>
      <c r="B15" s="21" t="s">
        <v>305</v>
      </c>
      <c r="C15" s="21"/>
      <c r="D15" s="21"/>
      <c r="E15" s="21"/>
      <c r="F15" s="21"/>
      <c r="G15" s="21"/>
      <c r="H15" s="21"/>
    </row>
    <row r="16" customFormat="false" ht="31.5" hidden="false" customHeight="true" outlineLevel="0" collapsed="false">
      <c r="A16" s="3" t="s">
        <v>306</v>
      </c>
      <c r="B16" s="21" t="s">
        <v>307</v>
      </c>
      <c r="C16" s="21"/>
      <c r="D16" s="21"/>
      <c r="E16" s="21"/>
      <c r="F16" s="21"/>
      <c r="G16" s="21"/>
      <c r="H16" s="21"/>
    </row>
  </sheetData>
  <mergeCells count="15">
    <mergeCell ref="A1:H1"/>
    <mergeCell ref="A2:H2"/>
    <mergeCell ref="B4:H4"/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B14:H14"/>
    <mergeCell ref="B15:H15"/>
    <mergeCell ref="B16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2026-09-19T18:44:36Z</dcterms:created>
  <dc:creator>openpyxl</dc:creator>
  <dc:description/>
  <dc:language>en-US</dc:language>
  <cp:lastModifiedBy/>
  <dcterms:modified xsi:type="dcterms:W3CDTF">2026-09-19T18:44:36Z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